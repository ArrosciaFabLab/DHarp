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In proggress\Progetto DHARP\Documentazione\"/>
    </mc:Choice>
  </mc:AlternateContent>
  <xr:revisionPtr revIDLastSave="0" documentId="13_ncr:1_{03736332-07F1-4B7A-92EB-20C4411734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M" sheetId="12" r:id="rId1"/>
    <sheet name="Materiale elettrico" sheetId="6" r:id="rId2"/>
    <sheet name="Materiale plastico" sheetId="13" r:id="rId3"/>
    <sheet name="Ferramenta" sheetId="16" r:id="rId4"/>
    <sheet name="Scatolati in alluminio" sheetId="8" r:id="rId5"/>
    <sheet name="Scatolati in acciao" sheetId="11" r:id="rId6"/>
    <sheet name="Piattine in alluminio" sheetId="10" r:id="rId7"/>
    <sheet name="Canalini a U in alluminio" sheetId="9" r:id="rId8"/>
    <sheet name="Tondini in alluminio" sheetId="7" r:id="rId9"/>
    <sheet name="Listelli in legno" sheetId="1" r:id="rId10"/>
    <sheet name="Tondini in legno" sheetId="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" i="12" l="1"/>
  <c r="G9" i="12" s="1"/>
  <c r="G12" i="12"/>
  <c r="G13" i="12"/>
  <c r="G11" i="12"/>
  <c r="G10" i="12"/>
  <c r="G8" i="12"/>
  <c r="G7" i="12"/>
  <c r="G6" i="12"/>
  <c r="G2" i="12" s="1"/>
  <c r="G4" i="13"/>
  <c r="G5" i="13"/>
  <c r="F8" i="6" l="1"/>
  <c r="F4" i="6" l="1"/>
  <c r="F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tc={A548CBB1-CADB-44A3-B7E5-193D259A46E5}</author>
  </authors>
  <commentList>
    <comment ref="F9" authorId="0" shapeId="0" xr:uid="{A548CBB1-CADB-44A3-B7E5-193D259A46E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Percentuale del totale</t>
      </text>
    </comment>
  </commentList>
</comments>
</file>

<file path=xl/sharedStrings.xml><?xml version="1.0" encoding="utf-8"?>
<sst xmlns="http://schemas.openxmlformats.org/spreadsheetml/2006/main" count="427" uniqueCount="173">
  <si>
    <t>CODICE</t>
  </si>
  <si>
    <t>TIPO DI LEGNO</t>
  </si>
  <si>
    <t>DIMENSIONI</t>
  </si>
  <si>
    <t>PREZZO</t>
  </si>
  <si>
    <t>NEGOZIO</t>
  </si>
  <si>
    <t>AYOUS2500X20X20</t>
  </si>
  <si>
    <t>Ayous</t>
  </si>
  <si>
    <t>2500 x 20 x 20</t>
  </si>
  <si>
    <t>Piallato</t>
  </si>
  <si>
    <t>NOTE</t>
  </si>
  <si>
    <t>AYOUS2500X30X10</t>
  </si>
  <si>
    <t>2500 x 30 x 10</t>
  </si>
  <si>
    <t>Grezzo</t>
  </si>
  <si>
    <t>Pino</t>
  </si>
  <si>
    <t>PINO2450X11</t>
  </si>
  <si>
    <t>PINO2450X16</t>
  </si>
  <si>
    <t>2450 x D11</t>
  </si>
  <si>
    <t>2450 x D16</t>
  </si>
  <si>
    <t>FUNZIONE</t>
  </si>
  <si>
    <t>MARCA</t>
  </si>
  <si>
    <t>MODELLO</t>
  </si>
  <si>
    <t>Amazon</t>
  </si>
  <si>
    <t>DATA VALUTAZIONE</t>
  </si>
  <si>
    <t>PULS12V</t>
  </si>
  <si>
    <t>Buygoo</t>
  </si>
  <si>
    <t>OZ-BZ047</t>
  </si>
  <si>
    <t>Interruttore 12V + led</t>
  </si>
  <si>
    <t>✔</t>
  </si>
  <si>
    <t>QUANTITA</t>
  </si>
  <si>
    <t>PINZCOCC</t>
  </si>
  <si>
    <t xml:space="preserve">VooGenzek </t>
  </si>
  <si>
    <t>Modello A  - 100A</t>
  </si>
  <si>
    <t>SCA100X100X50</t>
  </si>
  <si>
    <t>Electraline</t>
  </si>
  <si>
    <t>BricoIo</t>
  </si>
  <si>
    <t>SCA120X80X50</t>
  </si>
  <si>
    <t>TOTALE</t>
  </si>
  <si>
    <t>SCA200x120x75</t>
  </si>
  <si>
    <t>Heozhuyi</t>
  </si>
  <si>
    <t>B0CZ8WJDJP</t>
  </si>
  <si>
    <t>Scatola di derivazione IP56 grigia liscia 100x100x50 mm</t>
  </si>
  <si>
    <t>Scatola di derivazione IP56 grigia liscia 120x80x50 mm</t>
  </si>
  <si>
    <t>Scatola di derivazione in ABS IP65 nera e trasparente liscia 200x120x75 mm</t>
  </si>
  <si>
    <t>Gebildet</t>
  </si>
  <si>
    <t>DE429</t>
  </si>
  <si>
    <t>Mini pulsante momentaneo 3V-6V-12V-24V-230V/1A normalmente aperto</t>
  </si>
  <si>
    <t>MINIPULS</t>
  </si>
  <si>
    <t>Cavo spessore 1mm</t>
  </si>
  <si>
    <t>D7,5 - 1000 - 1</t>
  </si>
  <si>
    <t>D11,5 - 1000 - 1</t>
  </si>
  <si>
    <t>D15,5 - 1000 - 1</t>
  </si>
  <si>
    <t>D19,5 - 1000 - 1</t>
  </si>
  <si>
    <t>D11,5 - 1000 - 1,5</t>
  </si>
  <si>
    <t>Cavo spessore 1,5mm</t>
  </si>
  <si>
    <t>D15,5 - 1000 - 1,5</t>
  </si>
  <si>
    <t>D23,5 - 1000 - 1</t>
  </si>
  <si>
    <t>TIPO DI ALLUMINIO</t>
  </si>
  <si>
    <t>Anodizzato argento</t>
  </si>
  <si>
    <t>ALLUS7,5x1x1000x1</t>
  </si>
  <si>
    <t>ALLUS11,5x1x1000x1</t>
  </si>
  <si>
    <t>ALLUS15,5x1x1000x1</t>
  </si>
  <si>
    <t>ALLUS19,5x1x1000x1</t>
  </si>
  <si>
    <t>ALLUS23,5x1x1000x1</t>
  </si>
  <si>
    <t>ALLUS11,5x1x1000x1,5</t>
  </si>
  <si>
    <t>ALLUS15,5x1x1000x1,5</t>
  </si>
  <si>
    <t>ALLUA6x1x1000x1</t>
  </si>
  <si>
    <t>ALLUA8x1x1000x1</t>
  </si>
  <si>
    <t>ALLUA10x1x1000x1</t>
  </si>
  <si>
    <t>ALLUA12x1x1000x1</t>
  </si>
  <si>
    <t>ALLUA16x1x1000x1</t>
  </si>
  <si>
    <t>D6 - 1000 - 1</t>
  </si>
  <si>
    <t>D8 - 1000 - 1</t>
  </si>
  <si>
    <t>D10 - 1000 - 1</t>
  </si>
  <si>
    <t>D12 - 1000 - 1</t>
  </si>
  <si>
    <t>D16 - 1000 - 1</t>
  </si>
  <si>
    <t>Naturale</t>
  </si>
  <si>
    <t>ALLUA4x1x1000x1</t>
  </si>
  <si>
    <t>D4 - 1000 - 1</t>
  </si>
  <si>
    <t>Spessore 1,3mm</t>
  </si>
  <si>
    <t>8x10x1000x1,3</t>
  </si>
  <si>
    <t>30x1000x2</t>
  </si>
  <si>
    <t>PIAALU30x1000x2</t>
  </si>
  <si>
    <t>Spessore 2 mm</t>
  </si>
  <si>
    <t>Spessore 1,5mm</t>
  </si>
  <si>
    <t>SCAALU23,5x23,5x1000x1,5</t>
  </si>
  <si>
    <t>CANALU8x10x1000</t>
  </si>
  <si>
    <t>CANALU19,5x19,5x1000x1,5</t>
  </si>
  <si>
    <t>CANALU23,5x23,5x1000x1,5</t>
  </si>
  <si>
    <t>23,5x23,5x1000x1,5</t>
  </si>
  <si>
    <t>19,5x19,5x1000x1,5</t>
  </si>
  <si>
    <t>25x25x1000x1,5</t>
  </si>
  <si>
    <t>30x30x1000x1,5</t>
  </si>
  <si>
    <t>Spessore 1mm</t>
  </si>
  <si>
    <t>10x10x1000x1</t>
  </si>
  <si>
    <t>15x15x1000x1</t>
  </si>
  <si>
    <t>20x20x1000x1,5</t>
  </si>
  <si>
    <t>SCAALU7,5x12,5x1000x1</t>
  </si>
  <si>
    <t>SCAALU11,5x19,5x1000x1,5</t>
  </si>
  <si>
    <t>SCAALU15,5x27,5x1000x1,5</t>
  </si>
  <si>
    <t>SCAALU19,5x35,5x1000x1,5</t>
  </si>
  <si>
    <t>7,5x12,5x1000x1</t>
  </si>
  <si>
    <t>11,5x19,5x1000x1,5</t>
  </si>
  <si>
    <t>15,5x27,5x1000x1,5</t>
  </si>
  <si>
    <t>19,5x35,5x1000x1,5</t>
  </si>
  <si>
    <t>CANALU11,5x19,5x1000x1,5</t>
  </si>
  <si>
    <t>CANALU15,5x27,5x1000x1,5</t>
  </si>
  <si>
    <t>SCAALU19,5x19,5x1000x1,5</t>
  </si>
  <si>
    <t>SCAALU7,5x7,5x1000x1</t>
  </si>
  <si>
    <t>7,5x7,5x1000x1</t>
  </si>
  <si>
    <t>SCAALU11,5x11,5x1000x1,5</t>
  </si>
  <si>
    <t>11,5x11,5x1000x1,5</t>
  </si>
  <si>
    <t>SCAALU15,5x15,5x1000x1,5</t>
  </si>
  <si>
    <t>15,5x15,5x1000x1,5</t>
  </si>
  <si>
    <t>Laminato</t>
  </si>
  <si>
    <t>SCAACC20x20x1000x1,5</t>
  </si>
  <si>
    <t>SCAACC25x25x1000x1,5</t>
  </si>
  <si>
    <t>SCAACC30x30x1000x1,5</t>
  </si>
  <si>
    <t>SCAACC30x20x1000x1,5</t>
  </si>
  <si>
    <t>30x20x1000x1,5</t>
  </si>
  <si>
    <t>SCAACC16x16x1000x1,5</t>
  </si>
  <si>
    <t>16x16x1000x1,5</t>
  </si>
  <si>
    <t>Abete</t>
  </si>
  <si>
    <t>3000 x 40 x 30</t>
  </si>
  <si>
    <t>ABETE3000x40x30</t>
  </si>
  <si>
    <t>Pinze a coccodrillo 100 A (coppia rossa e nera)</t>
  </si>
  <si>
    <t>TIPO DI PLASTICA</t>
  </si>
  <si>
    <t>-</t>
  </si>
  <si>
    <t>30 x 15 x 15 mm</t>
  </si>
  <si>
    <t>25 x 25 x 20 mm</t>
  </si>
  <si>
    <t>TAPPO25x25x20</t>
  </si>
  <si>
    <t>TAPPO30x15x15</t>
  </si>
  <si>
    <t>Self</t>
  </si>
  <si>
    <t>43,5 x 23,5 x 1,5 mm</t>
  </si>
  <si>
    <t>Alfer Aluminium</t>
  </si>
  <si>
    <t>Sesimo</t>
  </si>
  <si>
    <t>NWP062022</t>
  </si>
  <si>
    <t>Decareta</t>
  </si>
  <si>
    <t>PE colore nero</t>
  </si>
  <si>
    <t>754083711055</t>
  </si>
  <si>
    <t>Telaio per il filamento elettrico</t>
  </si>
  <si>
    <t>Necessario per costruire la griglia del filamento elettrico</t>
  </si>
  <si>
    <t>Tappi per i profilati in alluminio quadrati</t>
  </si>
  <si>
    <t>Necessario per impermeabilizzare l'iterno dei profilati</t>
  </si>
  <si>
    <t>Tappi per i profilati in alluminio rettangilari</t>
  </si>
  <si>
    <t>CAVACC0.3</t>
  </si>
  <si>
    <t>Benecreat</t>
  </si>
  <si>
    <t>Cavo di acciaio inox 304 spessore 0,3 mm lunghezza 300 m</t>
  </si>
  <si>
    <t xml:space="preserve">TWIR-WH0002-05-0.3mm-EU </t>
  </si>
  <si>
    <t>MATERIALE</t>
  </si>
  <si>
    <t>ELLEFER40x40x20X2</t>
  </si>
  <si>
    <t>40 x 40 x 20 x 2 mm</t>
  </si>
  <si>
    <t>Ferro zincato</t>
  </si>
  <si>
    <t>Piastrina asolata ad angolo a L spessore 2mm</t>
  </si>
  <si>
    <t>Piastrina asolata ad angolo a L</t>
  </si>
  <si>
    <t>Rivetti diametro 3,2 mm per spessori 2 - 4 mm</t>
  </si>
  <si>
    <t>Alluminio</t>
  </si>
  <si>
    <t>RIVET3.2x2-4</t>
  </si>
  <si>
    <t>Fissaggio della struttura</t>
  </si>
  <si>
    <t>XL a testa larga - D 3,2 mm</t>
  </si>
  <si>
    <t>Isaberg Rapid AB</t>
  </si>
  <si>
    <t>L 8 x D 3,2 mm D testa 10 mm</t>
  </si>
  <si>
    <t>SCAALUAA23,5x23,5x1000x1,5</t>
  </si>
  <si>
    <t>SCAALUAA30x30x1000x1,5</t>
  </si>
  <si>
    <t>SCAALUAA25x25x1000x1,5</t>
  </si>
  <si>
    <t>SCAALUAA20x20x1000x1,5</t>
  </si>
  <si>
    <t>SCAALUAA15x15x1000x1</t>
  </si>
  <si>
    <t>SCAALUAA10x10x1000x1</t>
  </si>
  <si>
    <t>Necessari per costruire la struttura dell'arpa</t>
  </si>
  <si>
    <t>Costruzione della struttura</t>
  </si>
  <si>
    <t>Filamento elettrico dell'arpa (circa 22 m)</t>
  </si>
  <si>
    <t>PVC colore bianco</t>
  </si>
  <si>
    <t>ELLE43.5x23.5x1000x1.5</t>
  </si>
  <si>
    <t>Progetto DHARP - DHarp 2.0 - Bill Of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</si>
</sst>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&quot;€&quot;"/>
    <numFmt numFmtId="165" formatCode="[$-F800]dddd\,\ mmmm\ dd\,\ yyyy"/>
    <numFmt numFmtId="166" formatCode="0.00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Trebuchet MS"/>
      <family val="2"/>
    </font>
    <font>
      <b/>
      <sz val="16"/>
      <color theme="0"/>
      <name val="Trebuchet MS"/>
      <family val="2"/>
    </font>
    <font>
      <b/>
      <sz val="18"/>
      <color rgb="FFFF0000"/>
      <name val="Trebuchet MS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4" fillId="0" borderId="0" xfId="0" applyFont="1"/>
    <xf numFmtId="0" fontId="2" fillId="6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" fillId="2" borderId="0" xfId="1" applyFill="1" applyAlignment="1">
      <alignment horizontal="left" vertical="center"/>
    </xf>
    <xf numFmtId="165" fontId="0" fillId="2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65" fontId="0" fillId="4" borderId="0" xfId="0" applyNumberFormat="1" applyFill="1" applyAlignment="1">
      <alignment horizontal="left" vertical="center"/>
    </xf>
    <xf numFmtId="164" fontId="5" fillId="9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0" fontId="2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left" vertical="center"/>
    </xf>
    <xf numFmtId="0" fontId="0" fillId="11" borderId="0" xfId="0" applyFill="1"/>
    <xf numFmtId="165" fontId="0" fillId="11" borderId="0" xfId="0" applyNumberFormat="1" applyFill="1" applyAlignment="1">
      <alignment horizontal="left" vertical="center"/>
    </xf>
    <xf numFmtId="164" fontId="5" fillId="12" borderId="0" xfId="0" applyNumberFormat="1" applyFont="1" applyFill="1" applyAlignment="1">
      <alignment horizontal="right" vertical="center"/>
    </xf>
    <xf numFmtId="0" fontId="1" fillId="4" borderId="0" xfId="1" applyFill="1" applyAlignment="1">
      <alignment horizontal="left" vertical="center"/>
    </xf>
    <xf numFmtId="0" fontId="2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165" fontId="0" fillId="14" borderId="0" xfId="0" applyNumberFormat="1" applyFill="1" applyAlignment="1">
      <alignment horizontal="left" vertical="center"/>
    </xf>
    <xf numFmtId="0" fontId="1" fillId="14" borderId="0" xfId="1" applyFill="1" applyAlignment="1">
      <alignment horizontal="left" vertical="center"/>
    </xf>
    <xf numFmtId="164" fontId="5" fillId="15" borderId="0" xfId="0" applyNumberFormat="1" applyFont="1" applyFill="1" applyAlignment="1">
      <alignment horizontal="right" vertical="center"/>
    </xf>
    <xf numFmtId="49" fontId="0" fillId="14" borderId="0" xfId="0" applyNumberFormat="1" applyFill="1" applyAlignment="1">
      <alignment horizontal="left" vertical="center"/>
    </xf>
    <xf numFmtId="0" fontId="1" fillId="11" borderId="0" xfId="1" applyFill="1"/>
    <xf numFmtId="0" fontId="0" fillId="16" borderId="0" xfId="0" applyFill="1" applyAlignment="1">
      <alignment horizontal="left" vertical="center"/>
    </xf>
    <xf numFmtId="0" fontId="0" fillId="16" borderId="0" xfId="0" applyFill="1"/>
    <xf numFmtId="165" fontId="0" fillId="16" borderId="0" xfId="0" applyNumberFormat="1" applyFill="1" applyAlignment="1">
      <alignment horizontal="left" vertical="center"/>
    </xf>
    <xf numFmtId="0" fontId="1" fillId="16" borderId="0" xfId="1" applyFill="1"/>
    <xf numFmtId="0" fontId="0" fillId="16" borderId="0" xfId="0" applyFill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1" fontId="0" fillId="4" borderId="3" xfId="0" applyNumberFormat="1" applyFill="1" applyBorder="1" applyAlignment="1">
      <alignment horizontal="center" vertical="center"/>
    </xf>
    <xf numFmtId="164" fontId="5" fillId="8" borderId="3" xfId="0" applyNumberFormat="1" applyFont="1" applyFill="1" applyBorder="1" applyAlignment="1">
      <alignment horizontal="right" vertical="center"/>
    </xf>
    <xf numFmtId="0" fontId="0" fillId="4" borderId="4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1" fontId="0" fillId="4" borderId="6" xfId="0" applyNumberFormat="1" applyFill="1" applyBorder="1" applyAlignment="1">
      <alignment horizontal="center" vertical="center"/>
    </xf>
    <xf numFmtId="164" fontId="5" fillId="8" borderId="6" xfId="0" applyNumberFormat="1" applyFont="1" applyFill="1" applyBorder="1" applyAlignment="1">
      <alignment horizontal="right" vertical="center"/>
    </xf>
    <xf numFmtId="0" fontId="0" fillId="4" borderId="7" xfId="0" applyFill="1" applyBorder="1" applyAlignment="1">
      <alignment horizontal="left" vertical="center"/>
    </xf>
    <xf numFmtId="166" fontId="0" fillId="4" borderId="6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1" fontId="0" fillId="4" borderId="9" xfId="0" applyNumberFormat="1" applyFill="1" applyBorder="1" applyAlignment="1">
      <alignment horizontal="center" vertical="center"/>
    </xf>
    <xf numFmtId="164" fontId="5" fillId="8" borderId="9" xfId="0" applyNumberFormat="1" applyFont="1" applyFill="1" applyBorder="1" applyAlignment="1">
      <alignment horizontal="right" vertical="center"/>
    </xf>
    <xf numFmtId="0" fontId="0" fillId="4" borderId="10" xfId="0" applyFill="1" applyBorder="1" applyAlignment="1">
      <alignment horizontal="left" vertical="center"/>
    </xf>
  </cellXfs>
  <cellStyles count="2">
    <cellStyle name="Collegamento ipertestuale" xfId="1" builtinId="8"/>
    <cellStyle name="Normale" xfId="0" builtinId="0"/>
  </cellStyles>
  <dxfs count="0"/>
  <tableStyles count="1" defaultTableStyle="TableStyleMedium2" defaultPivotStyle="PivotStyleLight16">
    <tableStyle name="Invisible" pivot="0" table="0" count="0" xr9:uid="{580D1018-6DA0-4471-BF05-3E103DF2EC40}"/>
  </tableStyles>
  <colors>
    <mruColors>
      <color rgb="FFFF7C8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sili Marcello" id="{9DC2B2FD-C7E5-4F12-9462-41247DF8639A}" userId="S::marcello.masili@ariaspa.it::00acd8f8-40aa-4dc5-a803-d55ba24d9c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" dT="2024-10-31T14:49:14.98" personId="{9DC2B2FD-C7E5-4F12-9462-41247DF8639A}" id="{A548CBB1-CADB-44A3-B7E5-193D259A46E5}">
    <text>Percentuale del totale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www.bricoio.it/it/it/brit/shop/product/scatola-di-derivazione-esterna-ip56-liscia/bri547763" TargetMode="External"/><Relationship Id="rId7" Type="http://schemas.openxmlformats.org/officeDocument/2006/relationships/hyperlink" Target="https://www.amazon.it/dp/B08T65PQL6?ref=ppx_yo2ov_dt_b_fed_asin_title&amp;th=1" TargetMode="External"/><Relationship Id="rId2" Type="http://schemas.openxmlformats.org/officeDocument/2006/relationships/hyperlink" Target="https://www.amazon.it/gp/product/B07F43JGSJ/ref=ppx_od_dt_b_asin_title_s01?ie=UTF8&amp;psc=1" TargetMode="External"/><Relationship Id="rId1" Type="http://schemas.openxmlformats.org/officeDocument/2006/relationships/hyperlink" Target="https://www.amazon.it/dp/B0C2HSWVCS?ref=ppx_yo2ov_dt_b_fed_asin_title&amp;th=1" TargetMode="External"/><Relationship Id="rId6" Type="http://schemas.openxmlformats.org/officeDocument/2006/relationships/hyperlink" Target="https://www.amazon.it/gp/product/B083K1YCZK/ref=ox_sc_act_title_1?smid=A1DBC97EH2O973&amp;th=1" TargetMode="External"/><Relationship Id="rId5" Type="http://schemas.openxmlformats.org/officeDocument/2006/relationships/hyperlink" Target="https://www.amazon.it/gp/product/B0CZ8WJDJP/ref=sw_img_1?smid=A1HP9DPDVSOIHE&amp;th=1" TargetMode="External"/><Relationship Id="rId4" Type="http://schemas.openxmlformats.org/officeDocument/2006/relationships/hyperlink" Target="https://www.bricoio.it/it/it/brit/shop/product/scatola-di-derivazione-esterna-ip56-liscia/bri547764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roducts.alfer.com/it/prodotti/angolare-lati-disuguali-21690.html" TargetMode="External"/><Relationship Id="rId2" Type="http://schemas.openxmlformats.org/officeDocument/2006/relationships/hyperlink" Target="https://www.amazon.it/dp/B08CXG3RHP?ref=ppx_yo2ov_dt_b_fed_asin_title&amp;th=1" TargetMode="External"/><Relationship Id="rId1" Type="http://schemas.openxmlformats.org/officeDocument/2006/relationships/hyperlink" Target="https://www.amazon.it/dp/B0B3KWN7Z2?ref=ppx_yo2ov_dt_b_fed_asin_title&amp;th=1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rapid.com/it-it/products/rapid-tools/riveting/rivetti-rapid-xl-%C3%B83-2-x-8-m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products.alfer.com/it/ferramenta/sistema-combitech-base/sistema-di-profili-alluminio/tubo-rettangolare-alluminio-naturale.html" TargetMode="External"/><Relationship Id="rId2" Type="http://schemas.openxmlformats.org/officeDocument/2006/relationships/hyperlink" Target="https://products.alfer.com/it/prodotti/tubo-quadrato-25171.html" TargetMode="External"/><Relationship Id="rId1" Type="http://schemas.openxmlformats.org/officeDocument/2006/relationships/hyperlink" Target="https://products.alfer.com/it/prodotti/tubo-quadrato-25170.html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bricoio.it/it/it/brit/shop/product/listello-abete-piallato-3000x30x40/bri108359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B3E0-229C-4098-A500-F299FDE87A72}">
  <sheetPr>
    <tabColor rgb="FFFF0000"/>
  </sheetPr>
  <dimension ref="B1:H14"/>
  <sheetViews>
    <sheetView showGridLines="0" showRowColHeaders="0" tabSelected="1" zoomScaleNormal="100" workbookViewId="0">
      <pane ySplit="5" topLeftCell="A6" activePane="bottomLeft" state="frozenSplit"/>
      <selection pane="bottomLeft" activeCell="B15" sqref="B15"/>
    </sheetView>
  </sheetViews>
  <sheetFormatPr defaultColWidth="8.21875" defaultRowHeight="14.4" x14ac:dyDescent="0.3"/>
  <cols>
    <col min="1" max="1" width="4.21875" customWidth="1"/>
    <col min="2" max="2" width="26.109375" bestFit="1" customWidth="1"/>
    <col min="3" max="3" width="17.6640625" customWidth="1"/>
    <col min="4" max="4" width="26" bestFit="1" customWidth="1"/>
    <col min="5" max="5" width="36.109375" bestFit="1" customWidth="1"/>
    <col min="6" max="6" width="13.6640625" bestFit="1" customWidth="1"/>
    <col min="7" max="7" width="10.44140625" bestFit="1" customWidth="1"/>
    <col min="8" max="8" width="47.44140625" bestFit="1" customWidth="1"/>
  </cols>
  <sheetData>
    <row r="1" spans="2:8" ht="15" thickBot="1" x14ac:dyDescent="0.35"/>
    <row r="2" spans="2:8" ht="24.6" thickTop="1" thickBot="1" x14ac:dyDescent="0.5">
      <c r="C2" s="3" t="s">
        <v>172</v>
      </c>
      <c r="E2" s="3"/>
      <c r="F2" s="30" t="s">
        <v>36</v>
      </c>
      <c r="G2" s="31">
        <f xml:space="preserve"> SUM( G6:G13 )</f>
        <v>61.41193333333333</v>
      </c>
    </row>
    <row r="3" spans="2:8" ht="15" thickTop="1" x14ac:dyDescent="0.3"/>
    <row r="4" spans="2:8" ht="15" thickBot="1" x14ac:dyDescent="0.35"/>
    <row r="5" spans="2:8" ht="19.2" thickTop="1" thickBot="1" x14ac:dyDescent="0.35">
      <c r="B5" s="32" t="s">
        <v>0</v>
      </c>
      <c r="C5" s="32" t="s">
        <v>19</v>
      </c>
      <c r="D5" s="32" t="s">
        <v>20</v>
      </c>
      <c r="E5" s="32" t="s">
        <v>18</v>
      </c>
      <c r="F5" s="32" t="s">
        <v>28</v>
      </c>
      <c r="G5" s="32" t="s">
        <v>3</v>
      </c>
      <c r="H5" s="32" t="s">
        <v>9</v>
      </c>
    </row>
    <row r="6" spans="2:8" ht="15" thickTop="1" x14ac:dyDescent="0.3">
      <c r="B6" s="33" t="s">
        <v>171</v>
      </c>
      <c r="C6" s="34" t="s">
        <v>133</v>
      </c>
      <c r="D6" s="34">
        <v>21690</v>
      </c>
      <c r="E6" s="34" t="s">
        <v>139</v>
      </c>
      <c r="F6" s="35">
        <v>1</v>
      </c>
      <c r="G6" s="36">
        <f xml:space="preserve"> F6 * 'Materiale plastico'!G3</f>
        <v>4.2</v>
      </c>
      <c r="H6" s="37" t="s">
        <v>167</v>
      </c>
    </row>
    <row r="7" spans="2:8" x14ac:dyDescent="0.3">
      <c r="B7" s="38" t="s">
        <v>129</v>
      </c>
      <c r="C7" s="39" t="s">
        <v>136</v>
      </c>
      <c r="D7" s="39" t="s">
        <v>138</v>
      </c>
      <c r="E7" s="39" t="s">
        <v>141</v>
      </c>
      <c r="F7" s="40">
        <v>2</v>
      </c>
      <c r="G7" s="41">
        <f xml:space="preserve"> F7 * 'Materiale plastico'!G4</f>
        <v>0.89900000000000002</v>
      </c>
      <c r="H7" s="42" t="s">
        <v>142</v>
      </c>
    </row>
    <row r="8" spans="2:8" x14ac:dyDescent="0.3">
      <c r="B8" s="38" t="s">
        <v>130</v>
      </c>
      <c r="C8" s="39" t="s">
        <v>134</v>
      </c>
      <c r="D8" s="39" t="s">
        <v>135</v>
      </c>
      <c r="E8" s="39" t="s">
        <v>143</v>
      </c>
      <c r="F8" s="40">
        <v>4</v>
      </c>
      <c r="G8" s="41">
        <f xml:space="preserve"> F8 * 'Materiale plastico'!G5</f>
        <v>3.2250000000000001</v>
      </c>
      <c r="H8" s="42" t="s">
        <v>142</v>
      </c>
    </row>
    <row r="9" spans="2:8" x14ac:dyDescent="0.3">
      <c r="B9" s="38" t="s">
        <v>144</v>
      </c>
      <c r="C9" s="39" t="s">
        <v>145</v>
      </c>
      <c r="D9" s="39" t="s">
        <v>147</v>
      </c>
      <c r="E9" s="39" t="s">
        <v>169</v>
      </c>
      <c r="F9" s="43">
        <f xml:space="preserve"> (100 * 22) / 300</f>
        <v>7.333333333333333</v>
      </c>
      <c r="G9" s="41">
        <f xml:space="preserve"> (F9 / 100) * 'Materiale elettrico'!F9</f>
        <v>1.2679333333333334</v>
      </c>
      <c r="H9" s="42" t="s">
        <v>140</v>
      </c>
    </row>
    <row r="10" spans="2:8" x14ac:dyDescent="0.3">
      <c r="B10" s="38" t="s">
        <v>149</v>
      </c>
      <c r="C10" s="39" t="s">
        <v>126</v>
      </c>
      <c r="D10" s="39" t="s">
        <v>126</v>
      </c>
      <c r="E10" s="39" t="s">
        <v>153</v>
      </c>
      <c r="F10" s="40">
        <v>10</v>
      </c>
      <c r="G10" s="41">
        <f xml:space="preserve"> F10 * Ferramenta!G3</f>
        <v>7.5</v>
      </c>
      <c r="H10" s="42" t="s">
        <v>167</v>
      </c>
    </row>
    <row r="11" spans="2:8" x14ac:dyDescent="0.3">
      <c r="B11" s="38" t="s">
        <v>156</v>
      </c>
      <c r="C11" s="39" t="s">
        <v>159</v>
      </c>
      <c r="D11" s="39" t="s">
        <v>158</v>
      </c>
      <c r="E11" s="39" t="s">
        <v>157</v>
      </c>
      <c r="F11" s="40">
        <v>1</v>
      </c>
      <c r="G11" s="41">
        <f xml:space="preserve"> F11 * Ferramenta!G4</f>
        <v>5.22</v>
      </c>
      <c r="H11" s="42" t="s">
        <v>167</v>
      </c>
    </row>
    <row r="12" spans="2:8" x14ac:dyDescent="0.3">
      <c r="B12" s="38" t="s">
        <v>84</v>
      </c>
      <c r="C12" s="39" t="s">
        <v>133</v>
      </c>
      <c r="D12" s="39">
        <v>25170</v>
      </c>
      <c r="E12" s="39" t="s">
        <v>168</v>
      </c>
      <c r="F12" s="40">
        <v>3</v>
      </c>
      <c r="G12" s="41">
        <f xml:space="preserve"> F12 * 'Scatolati in alluminio'!G13</f>
        <v>29.849999999999998</v>
      </c>
      <c r="H12" s="42" t="s">
        <v>167</v>
      </c>
    </row>
    <row r="13" spans="2:8" ht="15" thickBot="1" x14ac:dyDescent="0.35">
      <c r="B13" s="44" t="s">
        <v>98</v>
      </c>
      <c r="C13" s="45" t="s">
        <v>133</v>
      </c>
      <c r="D13" s="45">
        <v>25326</v>
      </c>
      <c r="E13" s="45" t="s">
        <v>168</v>
      </c>
      <c r="F13" s="46">
        <v>1</v>
      </c>
      <c r="G13" s="47">
        <f xml:space="preserve"> F13 * 'Scatolati in alluminio'!G10</f>
        <v>9.25</v>
      </c>
      <c r="H13" s="48" t="s">
        <v>167</v>
      </c>
    </row>
    <row r="14" spans="2:8" ht="15" thickTop="1" x14ac:dyDescent="0.3"/>
  </sheetData>
  <pageMargins left="0.7" right="0.7" top="0.75" bottom="0.75" header="0.3" footer="0.3"/>
  <pageSetup paperSize="9" orientation="portrait" r:id="rId1"/>
  <ignoredErrors>
    <ignoredError sqref="D7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46C5-D63F-4134-919D-7D7B689FA66B}">
  <sheetPr>
    <tabColor theme="9" tint="-0.249977111117893"/>
  </sheetPr>
  <dimension ref="A2:H9"/>
  <sheetViews>
    <sheetView showGridLines="0" showRowColHeaders="0" workbookViewId="0">
      <pane ySplit="2" topLeftCell="A3" activePane="bottomLeft" state="frozenSplit"/>
      <selection pane="bottomLeft" activeCell="E15" sqref="E15"/>
    </sheetView>
  </sheetViews>
  <sheetFormatPr defaultRowHeight="14.4" x14ac:dyDescent="0.3"/>
  <cols>
    <col min="1" max="1" width="2.5546875" bestFit="1" customWidth="1"/>
    <col min="2" max="2" width="14.21875" bestFit="1" customWidth="1"/>
    <col min="3" max="3" width="10.6640625" bestFit="1" customWidth="1"/>
    <col min="4" max="4" width="26" bestFit="1" customWidth="1"/>
    <col min="5" max="5" width="63.21875" bestFit="1" customWidth="1"/>
    <col min="6" max="6" width="10.44140625" bestFit="1" customWidth="1"/>
    <col min="7" max="7" width="11.6640625" bestFit="1" customWidth="1"/>
    <col min="8" max="8" width="25.6640625" bestFit="1" customWidth="1"/>
  </cols>
  <sheetData>
    <row r="2" spans="1:8" ht="18" x14ac:dyDescent="0.3">
      <c r="B2" s="4" t="s">
        <v>0</v>
      </c>
      <c r="C2" s="4" t="s">
        <v>19</v>
      </c>
      <c r="D2" s="4" t="s">
        <v>20</v>
      </c>
      <c r="E2" s="4" t="s">
        <v>18</v>
      </c>
      <c r="F2" s="4" t="s">
        <v>3</v>
      </c>
      <c r="G2" s="4" t="s">
        <v>4</v>
      </c>
      <c r="H2" s="4" t="s">
        <v>22</v>
      </c>
    </row>
    <row r="3" spans="1:8" x14ac:dyDescent="0.3">
      <c r="B3" s="5" t="s">
        <v>29</v>
      </c>
      <c r="C3" s="5" t="s">
        <v>30</v>
      </c>
      <c r="D3" s="5" t="s">
        <v>31</v>
      </c>
      <c r="E3" s="5" t="s">
        <v>124</v>
      </c>
      <c r="F3" s="10">
        <f xml:space="preserve"> 9.99 / 4</f>
        <v>2.4975000000000001</v>
      </c>
      <c r="G3" s="6" t="s">
        <v>21</v>
      </c>
      <c r="H3" s="7">
        <v>45547</v>
      </c>
    </row>
    <row r="4" spans="1:8" x14ac:dyDescent="0.3">
      <c r="A4" t="s">
        <v>27</v>
      </c>
      <c r="B4" s="5" t="s">
        <v>23</v>
      </c>
      <c r="C4" s="5" t="s">
        <v>24</v>
      </c>
      <c r="D4" s="5" t="s">
        <v>25</v>
      </c>
      <c r="E4" s="5" t="s">
        <v>26</v>
      </c>
      <c r="F4" s="10">
        <f xml:space="preserve"> 7.99 / 10</f>
        <v>0.79900000000000004</v>
      </c>
      <c r="G4" s="6" t="s">
        <v>21</v>
      </c>
      <c r="H4" s="7">
        <v>45531</v>
      </c>
    </row>
    <row r="5" spans="1:8" x14ac:dyDescent="0.3">
      <c r="B5" s="5" t="s">
        <v>32</v>
      </c>
      <c r="C5" s="5" t="s">
        <v>33</v>
      </c>
      <c r="D5" s="5">
        <v>60557</v>
      </c>
      <c r="E5" s="5" t="s">
        <v>40</v>
      </c>
      <c r="F5" s="10">
        <v>2.35</v>
      </c>
      <c r="G5" s="6" t="s">
        <v>34</v>
      </c>
      <c r="H5" s="7">
        <v>45520</v>
      </c>
    </row>
    <row r="6" spans="1:8" x14ac:dyDescent="0.3">
      <c r="B6" s="5" t="s">
        <v>35</v>
      </c>
      <c r="C6" s="5" t="s">
        <v>33</v>
      </c>
      <c r="D6" s="5">
        <v>60558</v>
      </c>
      <c r="E6" s="5" t="s">
        <v>41</v>
      </c>
      <c r="F6" s="10">
        <v>2.2999999999999998</v>
      </c>
      <c r="G6" s="6" t="s">
        <v>34</v>
      </c>
      <c r="H6" s="7">
        <v>45520</v>
      </c>
    </row>
    <row r="7" spans="1:8" x14ac:dyDescent="0.3">
      <c r="A7" t="s">
        <v>27</v>
      </c>
      <c r="B7" s="5" t="s">
        <v>37</v>
      </c>
      <c r="C7" s="5" t="s">
        <v>38</v>
      </c>
      <c r="D7" s="5" t="s">
        <v>39</v>
      </c>
      <c r="E7" s="5" t="s">
        <v>42</v>
      </c>
      <c r="F7" s="10">
        <v>11.99</v>
      </c>
      <c r="G7" s="6" t="s">
        <v>21</v>
      </c>
      <c r="H7" s="7">
        <v>45560</v>
      </c>
    </row>
    <row r="8" spans="1:8" x14ac:dyDescent="0.3">
      <c r="A8" t="s">
        <v>27</v>
      </c>
      <c r="B8" s="5" t="s">
        <v>46</v>
      </c>
      <c r="C8" s="5" t="s">
        <v>43</v>
      </c>
      <c r="D8" s="5" t="s">
        <v>44</v>
      </c>
      <c r="E8" s="5" t="s">
        <v>45</v>
      </c>
      <c r="F8" s="10">
        <f xml:space="preserve"> 8.89 / 12</f>
        <v>0.74083333333333334</v>
      </c>
      <c r="G8" s="6" t="s">
        <v>21</v>
      </c>
      <c r="H8" s="7">
        <v>45560</v>
      </c>
    </row>
    <row r="9" spans="1:8" x14ac:dyDescent="0.3">
      <c r="A9" t="s">
        <v>27</v>
      </c>
      <c r="B9" s="5" t="s">
        <v>144</v>
      </c>
      <c r="C9" s="5" t="s">
        <v>145</v>
      </c>
      <c r="D9" s="5" t="s">
        <v>147</v>
      </c>
      <c r="E9" s="5" t="s">
        <v>146</v>
      </c>
      <c r="F9" s="10">
        <v>17.29</v>
      </c>
      <c r="G9" s="6" t="s">
        <v>21</v>
      </c>
      <c r="H9" s="7">
        <v>45582</v>
      </c>
    </row>
  </sheetData>
  <hyperlinks>
    <hyperlink ref="G3" r:id="rId1" display="https://www.amazon.it/dp/B0C2HSWVCS?ref=ppx_yo2ov_dt_b_fed_asin_title&amp;th=1" xr:uid="{807B704A-1F31-4D10-8BA1-17C81B473E8D}"/>
    <hyperlink ref="G4" r:id="rId2" xr:uid="{82F366C8-7C19-4D8B-BCD8-28A7E86C1069}"/>
    <hyperlink ref="G5" r:id="rId3" xr:uid="{2F65491C-0F58-4479-92F5-F37C1BBCDEAE}"/>
    <hyperlink ref="G6" r:id="rId4" xr:uid="{29C8C172-22C9-4106-946E-91ADF3A60B55}"/>
    <hyperlink ref="G7" r:id="rId5" xr:uid="{1D893500-4C7E-4806-BBFB-3D3322392B65}"/>
    <hyperlink ref="G8" r:id="rId6" xr:uid="{F8B57B2A-58B9-4144-A7F9-6588159D354F}"/>
    <hyperlink ref="G9" r:id="rId7" xr:uid="{927DB8A4-3671-4333-95A3-6004F9B40760}"/>
  </hyperlinks>
  <pageMargins left="0.7" right="0.7" top="0.75" bottom="0.75" header="0.3" footer="0.3"/>
  <pageSetup paperSize="9" orientation="portrait" verticalDpi="0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6208-8492-4D47-8F0A-3E9CEB072BD5}">
  <sheetPr>
    <tabColor rgb="FFFFC000"/>
  </sheetPr>
  <dimension ref="A2:J5"/>
  <sheetViews>
    <sheetView showGridLines="0" showRowColHeaders="0" workbookViewId="0">
      <pane ySplit="2" topLeftCell="A3" activePane="bottomLeft" state="frozenSplit"/>
      <selection pane="bottomLeft" activeCell="B7" sqref="B7"/>
    </sheetView>
  </sheetViews>
  <sheetFormatPr defaultColWidth="3.77734375" defaultRowHeight="14.4" x14ac:dyDescent="0.3"/>
  <cols>
    <col min="1" max="1" width="2.77734375" customWidth="1"/>
    <col min="2" max="2" width="21.44140625" bestFit="1" customWidth="1"/>
    <col min="3" max="3" width="14" bestFit="1" customWidth="1"/>
    <col min="4" max="4" width="13.109375" bestFit="1" customWidth="1"/>
    <col min="5" max="5" width="22.44140625" bestFit="1" customWidth="1"/>
    <col min="6" max="6" width="17.6640625" bestFit="1" customWidth="1"/>
    <col min="7" max="7" width="10.44140625" bestFit="1" customWidth="1"/>
    <col min="8" max="8" width="11.6640625" bestFit="1" customWidth="1"/>
    <col min="9" max="9" width="7.6640625" bestFit="1" customWidth="1"/>
    <col min="10" max="10" width="25.6640625" bestFit="1" customWidth="1"/>
  </cols>
  <sheetData>
    <row r="2" spans="1:10" ht="18" x14ac:dyDescent="0.3">
      <c r="B2" s="18" t="s">
        <v>0</v>
      </c>
      <c r="C2" s="18" t="s">
        <v>19</v>
      </c>
      <c r="D2" s="18" t="s">
        <v>20</v>
      </c>
      <c r="E2" s="18" t="s">
        <v>125</v>
      </c>
      <c r="F2" s="18" t="s">
        <v>2</v>
      </c>
      <c r="G2" s="18" t="s">
        <v>3</v>
      </c>
      <c r="H2" s="18" t="s">
        <v>4</v>
      </c>
      <c r="I2" s="18" t="s">
        <v>9</v>
      </c>
      <c r="J2" s="18" t="s">
        <v>22</v>
      </c>
    </row>
    <row r="3" spans="1:10" x14ac:dyDescent="0.3">
      <c r="A3" t="s">
        <v>27</v>
      </c>
      <c r="B3" s="19" t="s">
        <v>171</v>
      </c>
      <c r="C3" s="19" t="s">
        <v>133</v>
      </c>
      <c r="D3" s="23">
        <v>21690</v>
      </c>
      <c r="E3" s="19" t="s">
        <v>170</v>
      </c>
      <c r="F3" s="19" t="s">
        <v>132</v>
      </c>
      <c r="G3" s="22">
        <v>4.2</v>
      </c>
      <c r="H3" s="21" t="s">
        <v>131</v>
      </c>
      <c r="I3" s="19" t="s">
        <v>126</v>
      </c>
      <c r="J3" s="20">
        <v>45584</v>
      </c>
    </row>
    <row r="4" spans="1:10" x14ac:dyDescent="0.3">
      <c r="A4" t="s">
        <v>27</v>
      </c>
      <c r="B4" s="19" t="s">
        <v>129</v>
      </c>
      <c r="C4" s="19" t="s">
        <v>136</v>
      </c>
      <c r="D4" s="23" t="s">
        <v>138</v>
      </c>
      <c r="E4" s="19" t="s">
        <v>137</v>
      </c>
      <c r="F4" s="19" t="s">
        <v>128</v>
      </c>
      <c r="G4" s="22">
        <f xml:space="preserve"> 8.99 / 20</f>
        <v>0.44950000000000001</v>
      </c>
      <c r="H4" s="21" t="s">
        <v>21</v>
      </c>
      <c r="I4" s="19" t="s">
        <v>126</v>
      </c>
      <c r="J4" s="20">
        <v>45582</v>
      </c>
    </row>
    <row r="5" spans="1:10" x14ac:dyDescent="0.3">
      <c r="A5" t="s">
        <v>27</v>
      </c>
      <c r="B5" s="19" t="s">
        <v>130</v>
      </c>
      <c r="C5" s="19" t="s">
        <v>134</v>
      </c>
      <c r="D5" s="23" t="s">
        <v>135</v>
      </c>
      <c r="E5" s="19" t="s">
        <v>137</v>
      </c>
      <c r="F5" s="19" t="s">
        <v>127</v>
      </c>
      <c r="G5" s="22">
        <f xml:space="preserve"> 12.9 / 16</f>
        <v>0.80625000000000002</v>
      </c>
      <c r="H5" s="21" t="s">
        <v>21</v>
      </c>
      <c r="I5" s="19" t="s">
        <v>126</v>
      </c>
      <c r="J5" s="20">
        <v>45582</v>
      </c>
    </row>
  </sheetData>
  <hyperlinks>
    <hyperlink ref="H5" r:id="rId1" xr:uid="{A3EC6664-23B0-4804-A8CB-C0EDEBA2FAF3}"/>
    <hyperlink ref="H4" r:id="rId2" xr:uid="{FC267D5A-8919-4B5B-8D42-0D2D496CBDEC}"/>
    <hyperlink ref="H3" r:id="rId3" xr:uid="{61AD6621-E376-4BA9-9522-AE5896C106E8}"/>
  </hyperlinks>
  <pageMargins left="0.7" right="0.7" top="0.75" bottom="0.75" header="0.3" footer="0.3"/>
  <pageSetup paperSize="9" orientation="portrait" r:id="rId4"/>
  <ignoredErrors>
    <ignoredError sqref="D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CBBE-08BA-4C63-96AD-448A3EB798E6}">
  <sheetPr>
    <tabColor theme="0" tint="-0.249977111117893"/>
  </sheetPr>
  <dimension ref="A2:J4"/>
  <sheetViews>
    <sheetView showGridLines="0" showRowColHeaders="0" workbookViewId="0">
      <pane ySplit="2" topLeftCell="A3" activePane="bottomLeft" state="frozenSplit"/>
      <selection pane="bottomLeft" activeCell="B6" sqref="B6"/>
    </sheetView>
  </sheetViews>
  <sheetFormatPr defaultRowHeight="14.4" x14ac:dyDescent="0.3"/>
  <cols>
    <col min="1" max="1" width="3.5546875" customWidth="1"/>
    <col min="2" max="2" width="17.77734375" bestFit="1" customWidth="1"/>
    <col min="3" max="3" width="14.6640625" bestFit="1" customWidth="1"/>
    <col min="4" max="4" width="22.88671875" bestFit="1" customWidth="1"/>
    <col min="5" max="5" width="14.6640625" bestFit="1" customWidth="1"/>
    <col min="6" max="6" width="25.44140625" bestFit="1" customWidth="1"/>
    <col min="7" max="7" width="10.44140625" bestFit="1" customWidth="1"/>
    <col min="8" max="8" width="11.6640625" bestFit="1" customWidth="1"/>
    <col min="9" max="9" width="38.5546875" bestFit="1" customWidth="1"/>
    <col min="10" max="10" width="25.6640625" bestFit="1" customWidth="1"/>
  </cols>
  <sheetData>
    <row r="2" spans="1:10" ht="18" x14ac:dyDescent="0.3">
      <c r="B2" s="12" t="s">
        <v>0</v>
      </c>
      <c r="C2" s="12" t="s">
        <v>19</v>
      </c>
      <c r="D2" s="12" t="s">
        <v>20</v>
      </c>
      <c r="E2" s="12" t="s">
        <v>148</v>
      </c>
      <c r="F2" s="12" t="s">
        <v>2</v>
      </c>
      <c r="G2" s="12" t="s">
        <v>3</v>
      </c>
      <c r="H2" s="12" t="s">
        <v>4</v>
      </c>
      <c r="I2" s="12" t="s">
        <v>9</v>
      </c>
      <c r="J2" s="12" t="s">
        <v>22</v>
      </c>
    </row>
    <row r="3" spans="1:10" x14ac:dyDescent="0.3">
      <c r="A3" t="s">
        <v>27</v>
      </c>
      <c r="B3" s="13" t="s">
        <v>149</v>
      </c>
      <c r="C3" s="13" t="s">
        <v>126</v>
      </c>
      <c r="D3" s="13" t="s">
        <v>126</v>
      </c>
      <c r="E3" s="13" t="s">
        <v>151</v>
      </c>
      <c r="F3" s="13" t="s">
        <v>150</v>
      </c>
      <c r="G3" s="16">
        <v>0.75</v>
      </c>
      <c r="H3" s="14" t="s">
        <v>131</v>
      </c>
      <c r="I3" s="13" t="s">
        <v>152</v>
      </c>
      <c r="J3" s="15">
        <v>45564</v>
      </c>
    </row>
    <row r="4" spans="1:10" x14ac:dyDescent="0.3">
      <c r="A4" t="s">
        <v>27</v>
      </c>
      <c r="B4" s="13" t="s">
        <v>156</v>
      </c>
      <c r="C4" s="13" t="s">
        <v>159</v>
      </c>
      <c r="D4" s="13" t="s">
        <v>158</v>
      </c>
      <c r="E4" s="13" t="s">
        <v>155</v>
      </c>
      <c r="F4" s="13" t="s">
        <v>160</v>
      </c>
      <c r="G4" s="16">
        <v>5.22</v>
      </c>
      <c r="H4" s="24" t="s">
        <v>131</v>
      </c>
      <c r="I4" s="13" t="s">
        <v>154</v>
      </c>
      <c r="J4" s="15"/>
    </row>
  </sheetData>
  <hyperlinks>
    <hyperlink ref="H4" r:id="rId1" xr:uid="{76B51492-DECE-4C16-84FD-F969E573D07C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594D-0908-434C-9208-29D72B3A0707}">
  <sheetPr>
    <tabColor theme="0" tint="-0.249977111117893"/>
  </sheetPr>
  <dimension ref="B2:K19"/>
  <sheetViews>
    <sheetView showGridLines="0" showRowColHeaders="0" workbookViewId="0">
      <pane ySplit="2" topLeftCell="A3" activePane="bottomLeft" state="frozenSplit"/>
      <selection pane="bottomLeft" activeCell="B21" sqref="B21"/>
    </sheetView>
  </sheetViews>
  <sheetFormatPr defaultRowHeight="14.4" x14ac:dyDescent="0.3"/>
  <cols>
    <col min="1" max="1" width="3.5546875" customWidth="1"/>
    <col min="2" max="2" width="26.109375" bestFit="1" customWidth="1"/>
    <col min="3" max="3" width="14" bestFit="1" customWidth="1"/>
    <col min="4" max="4" width="12.6640625" bestFit="1" customWidth="1"/>
    <col min="5" max="5" width="24" bestFit="1" customWidth="1"/>
    <col min="6" max="6" width="17.21875" bestFit="1" customWidth="1"/>
    <col min="7" max="7" width="10.44140625" bestFit="1" customWidth="1"/>
    <col min="8" max="8" width="11.6640625" bestFit="1" customWidth="1"/>
    <col min="9" max="9" width="14.33203125" bestFit="1" customWidth="1"/>
    <col min="10" max="10" width="25.6640625" bestFit="1" customWidth="1"/>
  </cols>
  <sheetData>
    <row r="2" spans="2:11" ht="18" x14ac:dyDescent="0.3">
      <c r="B2" s="12" t="s">
        <v>0</v>
      </c>
      <c r="C2" s="12" t="s">
        <v>19</v>
      </c>
      <c r="D2" s="12" t="s">
        <v>20</v>
      </c>
      <c r="E2" s="12" t="s">
        <v>56</v>
      </c>
      <c r="F2" s="12" t="s">
        <v>2</v>
      </c>
      <c r="G2" s="12" t="s">
        <v>3</v>
      </c>
      <c r="H2" s="12" t="s">
        <v>4</v>
      </c>
      <c r="I2" s="12" t="s">
        <v>9</v>
      </c>
      <c r="J2" s="12" t="s">
        <v>22</v>
      </c>
    </row>
    <row r="3" spans="2:11" x14ac:dyDescent="0.3">
      <c r="B3" s="13" t="s">
        <v>107</v>
      </c>
      <c r="C3" s="13"/>
      <c r="D3" s="13"/>
      <c r="E3" s="13" t="s">
        <v>75</v>
      </c>
      <c r="F3" s="13" t="s">
        <v>108</v>
      </c>
      <c r="G3" s="16">
        <v>2.25</v>
      </c>
      <c r="H3" s="14" t="s">
        <v>34</v>
      </c>
      <c r="I3" s="13" t="s">
        <v>92</v>
      </c>
      <c r="J3" s="15">
        <v>45520</v>
      </c>
    </row>
    <row r="4" spans="2:11" x14ac:dyDescent="0.3">
      <c r="B4" s="13" t="s">
        <v>109</v>
      </c>
      <c r="C4" s="13"/>
      <c r="D4" s="13"/>
      <c r="E4" s="13" t="s">
        <v>75</v>
      </c>
      <c r="F4" s="13" t="s">
        <v>110</v>
      </c>
      <c r="G4" s="16">
        <v>4.8</v>
      </c>
      <c r="H4" s="14" t="s">
        <v>34</v>
      </c>
      <c r="I4" s="13" t="s">
        <v>83</v>
      </c>
      <c r="J4" s="15">
        <v>45520</v>
      </c>
    </row>
    <row r="5" spans="2:11" x14ac:dyDescent="0.3">
      <c r="B5" s="13" t="s">
        <v>111</v>
      </c>
      <c r="C5" s="13"/>
      <c r="D5" s="13"/>
      <c r="E5" s="13" t="s">
        <v>75</v>
      </c>
      <c r="F5" s="13" t="s">
        <v>112</v>
      </c>
      <c r="G5" s="16">
        <v>6.3</v>
      </c>
      <c r="H5" s="14" t="s">
        <v>34</v>
      </c>
      <c r="I5" s="13" t="s">
        <v>83</v>
      </c>
      <c r="J5" s="15">
        <v>45520</v>
      </c>
    </row>
    <row r="6" spans="2:11" x14ac:dyDescent="0.3">
      <c r="B6" s="13" t="s">
        <v>106</v>
      </c>
      <c r="C6" s="13"/>
      <c r="D6" s="13"/>
      <c r="E6" s="13" t="s">
        <v>75</v>
      </c>
      <c r="F6" s="13" t="s">
        <v>89</v>
      </c>
      <c r="G6" s="16">
        <v>8.4</v>
      </c>
      <c r="H6" s="14" t="s">
        <v>34</v>
      </c>
      <c r="I6" s="13" t="s">
        <v>83</v>
      </c>
      <c r="J6" s="15">
        <v>45520</v>
      </c>
    </row>
    <row r="7" spans="2:11" x14ac:dyDescent="0.3">
      <c r="B7" s="13" t="s">
        <v>96</v>
      </c>
      <c r="C7" s="13"/>
      <c r="D7" s="13"/>
      <c r="E7" s="13" t="s">
        <v>75</v>
      </c>
      <c r="F7" s="13" t="s">
        <v>100</v>
      </c>
      <c r="G7" s="16">
        <v>3.05</v>
      </c>
      <c r="H7" s="14" t="s">
        <v>34</v>
      </c>
      <c r="I7" s="13" t="s">
        <v>92</v>
      </c>
      <c r="J7" s="15">
        <v>45520</v>
      </c>
    </row>
    <row r="8" spans="2:11" x14ac:dyDescent="0.3">
      <c r="B8" s="13" t="s">
        <v>97</v>
      </c>
      <c r="C8" s="13"/>
      <c r="D8" s="13"/>
      <c r="E8" s="13" t="s">
        <v>75</v>
      </c>
      <c r="F8" s="13" t="s">
        <v>101</v>
      </c>
      <c r="G8" s="16">
        <v>6.55</v>
      </c>
      <c r="H8" s="14" t="s">
        <v>34</v>
      </c>
      <c r="I8" s="13" t="s">
        <v>83</v>
      </c>
      <c r="J8" s="15">
        <v>45520</v>
      </c>
    </row>
    <row r="9" spans="2:11" x14ac:dyDescent="0.3">
      <c r="B9" s="29" t="s">
        <v>98</v>
      </c>
      <c r="C9" s="25"/>
      <c r="D9" s="25"/>
      <c r="E9" s="29" t="s">
        <v>75</v>
      </c>
      <c r="F9" s="29" t="s">
        <v>102</v>
      </c>
      <c r="G9" s="16">
        <v>9.25</v>
      </c>
      <c r="H9" s="26" t="s">
        <v>34</v>
      </c>
      <c r="I9" s="29" t="s">
        <v>83</v>
      </c>
      <c r="J9" s="27">
        <v>45520</v>
      </c>
    </row>
    <row r="10" spans="2:11" x14ac:dyDescent="0.3">
      <c r="B10" s="29"/>
      <c r="C10" s="25" t="s">
        <v>133</v>
      </c>
      <c r="D10" s="25">
        <v>25326</v>
      </c>
      <c r="E10" s="29"/>
      <c r="F10" s="29"/>
      <c r="G10" s="16">
        <v>9.25</v>
      </c>
      <c r="H10" s="28" t="s">
        <v>131</v>
      </c>
      <c r="I10" s="29"/>
      <c r="J10" s="27">
        <v>45564</v>
      </c>
      <c r="K10" t="s">
        <v>27</v>
      </c>
    </row>
    <row r="11" spans="2:11" x14ac:dyDescent="0.3">
      <c r="B11" s="13" t="s">
        <v>99</v>
      </c>
      <c r="C11" s="13"/>
      <c r="D11" s="13"/>
      <c r="E11" s="13" t="s">
        <v>75</v>
      </c>
      <c r="F11" s="13" t="s">
        <v>103</v>
      </c>
      <c r="G11" s="16">
        <v>12.1</v>
      </c>
      <c r="H11" s="14" t="s">
        <v>34</v>
      </c>
      <c r="I11" s="13" t="s">
        <v>83</v>
      </c>
      <c r="J11" s="15">
        <v>45520</v>
      </c>
    </row>
    <row r="12" spans="2:11" x14ac:dyDescent="0.3">
      <c r="B12" s="29" t="s">
        <v>84</v>
      </c>
      <c r="C12" s="25"/>
      <c r="D12" s="25"/>
      <c r="E12" s="29" t="s">
        <v>75</v>
      </c>
      <c r="F12" s="29" t="s">
        <v>88</v>
      </c>
      <c r="G12" s="16">
        <v>9.9499999999999993</v>
      </c>
      <c r="H12" s="26" t="s">
        <v>34</v>
      </c>
      <c r="I12" s="29" t="s">
        <v>83</v>
      </c>
      <c r="J12" s="27">
        <v>45520</v>
      </c>
    </row>
    <row r="13" spans="2:11" x14ac:dyDescent="0.3">
      <c r="B13" s="29"/>
      <c r="C13" s="25" t="s">
        <v>133</v>
      </c>
      <c r="D13" s="25">
        <v>25170</v>
      </c>
      <c r="E13" s="29"/>
      <c r="F13" s="29"/>
      <c r="G13" s="16">
        <v>9.9499999999999993</v>
      </c>
      <c r="H13" s="28" t="s">
        <v>131</v>
      </c>
      <c r="I13" s="29"/>
      <c r="J13" s="27">
        <v>45564</v>
      </c>
      <c r="K13" t="s">
        <v>27</v>
      </c>
    </row>
    <row r="14" spans="2:11" x14ac:dyDescent="0.3">
      <c r="B14" s="13" t="s">
        <v>166</v>
      </c>
      <c r="C14" s="13"/>
      <c r="D14" s="13"/>
      <c r="E14" s="13" t="s">
        <v>57</v>
      </c>
      <c r="F14" s="13" t="s">
        <v>93</v>
      </c>
      <c r="G14" s="16">
        <v>4.9000000000000004</v>
      </c>
      <c r="H14" s="14" t="s">
        <v>34</v>
      </c>
      <c r="I14" s="13" t="s">
        <v>92</v>
      </c>
      <c r="J14" s="15">
        <v>45520</v>
      </c>
    </row>
    <row r="15" spans="2:11" x14ac:dyDescent="0.3">
      <c r="B15" s="13" t="s">
        <v>165</v>
      </c>
      <c r="C15" s="13"/>
      <c r="D15" s="13"/>
      <c r="E15" s="13" t="s">
        <v>57</v>
      </c>
      <c r="F15" s="13" t="s">
        <v>94</v>
      </c>
      <c r="G15" s="16">
        <v>5.95</v>
      </c>
      <c r="H15" s="14" t="s">
        <v>34</v>
      </c>
      <c r="I15" s="13" t="s">
        <v>92</v>
      </c>
      <c r="J15" s="15">
        <v>45520</v>
      </c>
    </row>
    <row r="16" spans="2:11" x14ac:dyDescent="0.3">
      <c r="B16" s="13" t="s">
        <v>164</v>
      </c>
      <c r="C16" s="13"/>
      <c r="D16" s="13"/>
      <c r="E16" s="13" t="s">
        <v>57</v>
      </c>
      <c r="F16" s="13" t="s">
        <v>95</v>
      </c>
      <c r="G16" s="16">
        <v>9.9</v>
      </c>
      <c r="H16" s="14" t="s">
        <v>34</v>
      </c>
      <c r="I16" s="13" t="s">
        <v>83</v>
      </c>
      <c r="J16" s="15">
        <v>45520</v>
      </c>
    </row>
    <row r="17" spans="2:11" x14ac:dyDescent="0.3">
      <c r="B17" s="13" t="s">
        <v>163</v>
      </c>
      <c r="C17" s="13"/>
      <c r="D17" s="13"/>
      <c r="E17" s="13" t="s">
        <v>57</v>
      </c>
      <c r="F17" s="13" t="s">
        <v>90</v>
      </c>
      <c r="G17" s="16">
        <v>11.9</v>
      </c>
      <c r="H17" s="14" t="s">
        <v>34</v>
      </c>
      <c r="I17" s="13" t="s">
        <v>83</v>
      </c>
      <c r="J17" s="15">
        <v>45520</v>
      </c>
    </row>
    <row r="18" spans="2:11" x14ac:dyDescent="0.3">
      <c r="B18" s="13" t="s">
        <v>162</v>
      </c>
      <c r="C18" s="13"/>
      <c r="D18" s="13"/>
      <c r="E18" s="13" t="s">
        <v>57</v>
      </c>
      <c r="F18" s="13" t="s">
        <v>91</v>
      </c>
      <c r="G18" s="16">
        <v>18.8</v>
      </c>
      <c r="H18" s="14" t="s">
        <v>34</v>
      </c>
      <c r="I18" s="13" t="s">
        <v>83</v>
      </c>
      <c r="J18" s="15">
        <v>45520</v>
      </c>
    </row>
    <row r="19" spans="2:11" x14ac:dyDescent="0.3">
      <c r="B19" s="13" t="s">
        <v>161</v>
      </c>
      <c r="C19" s="13" t="s">
        <v>133</v>
      </c>
      <c r="D19" s="13">
        <v>25171</v>
      </c>
      <c r="E19" s="13" t="s">
        <v>57</v>
      </c>
      <c r="F19" s="13" t="s">
        <v>88</v>
      </c>
      <c r="G19" s="16">
        <v>11.859</v>
      </c>
      <c r="H19" s="24" t="s">
        <v>131</v>
      </c>
      <c r="I19" s="13" t="s">
        <v>83</v>
      </c>
      <c r="J19" s="15">
        <v>45520</v>
      </c>
      <c r="K19" t="s">
        <v>27</v>
      </c>
    </row>
  </sheetData>
  <mergeCells count="8">
    <mergeCell ref="B12:B13"/>
    <mergeCell ref="E12:E13"/>
    <mergeCell ref="F12:F13"/>
    <mergeCell ref="I12:I13"/>
    <mergeCell ref="B9:B10"/>
    <mergeCell ref="E9:E10"/>
    <mergeCell ref="F9:F10"/>
    <mergeCell ref="I9:I10"/>
  </mergeCells>
  <hyperlinks>
    <hyperlink ref="H13" r:id="rId1" xr:uid="{E0E8C5D4-95F6-45DB-9126-FB9CD6686231}"/>
    <hyperlink ref="H19" r:id="rId2" xr:uid="{03E1F722-C86F-4023-A31A-C641FFA2A15C}"/>
    <hyperlink ref="H10" r:id="rId3" xr:uid="{CAFC91A4-25EC-4E23-B0FB-3B8E59DE137F}"/>
  </hyperlinks>
  <pageMargins left="0.7" right="0.7" top="0.75" bottom="0.75" header="0.3" footer="0.3"/>
  <pageSetup paperSize="9"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A31E-7070-4B37-BCDC-F3DC48ACBE63}">
  <sheetPr>
    <tabColor theme="0" tint="-0.249977111117893"/>
  </sheetPr>
  <dimension ref="B2:H7"/>
  <sheetViews>
    <sheetView showGridLines="0" showRowColHeaders="0" workbookViewId="0">
      <pane ySplit="2" topLeftCell="A3" activePane="bottomLeft" state="frozenSplit"/>
      <selection pane="bottomLeft" activeCell="B9" sqref="B9"/>
    </sheetView>
  </sheetViews>
  <sheetFormatPr defaultRowHeight="14.4" x14ac:dyDescent="0.3"/>
  <cols>
    <col min="1" max="1" width="3.5546875" customWidth="1"/>
    <col min="2" max="2" width="23.77734375" bestFit="1" customWidth="1"/>
    <col min="3" max="3" width="24" bestFit="1" customWidth="1"/>
    <col min="4" max="4" width="17.21875" bestFit="1" customWidth="1"/>
    <col min="5" max="5" width="10.44140625" bestFit="1" customWidth="1"/>
    <col min="6" max="6" width="11.6640625" bestFit="1" customWidth="1"/>
    <col min="7" max="7" width="14.33203125" bestFit="1" customWidth="1"/>
    <col min="8" max="8" width="25.6640625" bestFit="1" customWidth="1"/>
  </cols>
  <sheetData>
    <row r="2" spans="2:8" ht="18" x14ac:dyDescent="0.3">
      <c r="B2" s="12" t="s">
        <v>0</v>
      </c>
      <c r="C2" s="12" t="s">
        <v>56</v>
      </c>
      <c r="D2" s="12" t="s">
        <v>2</v>
      </c>
      <c r="E2" s="12" t="s">
        <v>3</v>
      </c>
      <c r="F2" s="12" t="s">
        <v>4</v>
      </c>
      <c r="G2" s="12" t="s">
        <v>9</v>
      </c>
      <c r="H2" s="12" t="s">
        <v>22</v>
      </c>
    </row>
    <row r="3" spans="2:8" x14ac:dyDescent="0.3">
      <c r="B3" s="13" t="s">
        <v>119</v>
      </c>
      <c r="C3" s="13" t="s">
        <v>113</v>
      </c>
      <c r="D3" s="13" t="s">
        <v>120</v>
      </c>
      <c r="E3" s="16">
        <v>8.1</v>
      </c>
      <c r="F3" s="14" t="s">
        <v>34</v>
      </c>
      <c r="G3" s="13" t="s">
        <v>83</v>
      </c>
      <c r="H3" s="15">
        <v>45520</v>
      </c>
    </row>
    <row r="4" spans="2:8" x14ac:dyDescent="0.3">
      <c r="B4" s="13" t="s">
        <v>114</v>
      </c>
      <c r="C4" s="13" t="s">
        <v>113</v>
      </c>
      <c r="D4" s="13" t="s">
        <v>95</v>
      </c>
      <c r="E4" s="16">
        <v>8.6</v>
      </c>
      <c r="F4" s="14" t="s">
        <v>34</v>
      </c>
      <c r="G4" s="13" t="s">
        <v>83</v>
      </c>
      <c r="H4" s="15">
        <v>45520</v>
      </c>
    </row>
    <row r="5" spans="2:8" x14ac:dyDescent="0.3">
      <c r="B5" s="13" t="s">
        <v>115</v>
      </c>
      <c r="C5" s="13" t="s">
        <v>113</v>
      </c>
      <c r="D5" s="13" t="s">
        <v>90</v>
      </c>
      <c r="E5" s="16">
        <v>9.9499999999999993</v>
      </c>
      <c r="F5" s="14" t="s">
        <v>34</v>
      </c>
      <c r="G5" s="13" t="s">
        <v>83</v>
      </c>
      <c r="H5" s="15">
        <v>45520</v>
      </c>
    </row>
    <row r="6" spans="2:8" x14ac:dyDescent="0.3">
      <c r="B6" s="13" t="s">
        <v>116</v>
      </c>
      <c r="C6" s="13" t="s">
        <v>113</v>
      </c>
      <c r="D6" s="13" t="s">
        <v>91</v>
      </c>
      <c r="E6" s="16">
        <v>13.15</v>
      </c>
      <c r="F6" s="14" t="s">
        <v>34</v>
      </c>
      <c r="G6" s="13" t="s">
        <v>83</v>
      </c>
      <c r="H6" s="15">
        <v>45520</v>
      </c>
    </row>
    <row r="7" spans="2:8" x14ac:dyDescent="0.3">
      <c r="B7" s="13" t="s">
        <v>117</v>
      </c>
      <c r="C7" s="13" t="s">
        <v>113</v>
      </c>
      <c r="D7" s="13" t="s">
        <v>118</v>
      </c>
      <c r="E7" s="16">
        <v>9.85</v>
      </c>
      <c r="F7" s="14" t="s">
        <v>34</v>
      </c>
      <c r="G7" s="13" t="s">
        <v>83</v>
      </c>
      <c r="H7" s="15">
        <v>45520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2354-7B1C-415E-8947-59B9FC86E701}">
  <sheetPr>
    <tabColor theme="0" tint="-0.249977111117893"/>
  </sheetPr>
  <dimension ref="B2:H3"/>
  <sheetViews>
    <sheetView showGridLines="0" showRowColHeaders="0" workbookViewId="0">
      <pane ySplit="2" topLeftCell="A3" activePane="bottomLeft" state="frozenSplit"/>
      <selection pane="bottomLeft" activeCell="B5" sqref="B5"/>
    </sheetView>
  </sheetViews>
  <sheetFormatPr defaultRowHeight="14.4" x14ac:dyDescent="0.3"/>
  <cols>
    <col min="1" max="1" width="3.5546875" customWidth="1"/>
    <col min="2" max="2" width="19.88671875" bestFit="1" customWidth="1"/>
    <col min="3" max="3" width="24" bestFit="1" customWidth="1"/>
    <col min="4" max="4" width="15.33203125" bestFit="1" customWidth="1"/>
    <col min="5" max="5" width="10.44140625" bestFit="1" customWidth="1"/>
    <col min="6" max="6" width="11.6640625" bestFit="1" customWidth="1"/>
    <col min="7" max="7" width="18.88671875" bestFit="1" customWidth="1"/>
    <col min="8" max="8" width="25.6640625" bestFit="1" customWidth="1"/>
  </cols>
  <sheetData>
    <row r="2" spans="2:8" ht="18" x14ac:dyDescent="0.3">
      <c r="B2" s="12" t="s">
        <v>0</v>
      </c>
      <c r="C2" s="12" t="s">
        <v>56</v>
      </c>
      <c r="D2" s="12" t="s">
        <v>2</v>
      </c>
      <c r="E2" s="12" t="s">
        <v>3</v>
      </c>
      <c r="F2" s="12" t="s">
        <v>4</v>
      </c>
      <c r="G2" s="12" t="s">
        <v>9</v>
      </c>
      <c r="H2" s="12" t="s">
        <v>22</v>
      </c>
    </row>
    <row r="3" spans="2:8" x14ac:dyDescent="0.3">
      <c r="B3" s="13" t="s">
        <v>81</v>
      </c>
      <c r="C3" s="13" t="s">
        <v>57</v>
      </c>
      <c r="D3" s="13" t="s">
        <v>80</v>
      </c>
      <c r="E3" s="16">
        <v>8.9</v>
      </c>
      <c r="F3" s="14" t="s">
        <v>34</v>
      </c>
      <c r="G3" s="13" t="s">
        <v>82</v>
      </c>
      <c r="H3" s="15">
        <v>45520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CB18-56A5-4BCD-B41E-0FD8578F1097}">
  <sheetPr>
    <tabColor theme="0" tint="-0.249977111117893"/>
  </sheetPr>
  <dimension ref="B2:H7"/>
  <sheetViews>
    <sheetView showGridLines="0" showRowColHeaders="0" workbookViewId="0">
      <pane ySplit="2" topLeftCell="A3" activePane="bottomLeft" state="frozenSplit"/>
      <selection pane="bottomLeft" activeCell="B9" sqref="B9"/>
    </sheetView>
  </sheetViews>
  <sheetFormatPr defaultRowHeight="14.4" x14ac:dyDescent="0.3"/>
  <cols>
    <col min="1" max="1" width="3.5546875" customWidth="1"/>
    <col min="2" max="2" width="23.77734375" bestFit="1" customWidth="1"/>
    <col min="3" max="3" width="24" bestFit="1" customWidth="1"/>
    <col min="4" max="4" width="17.21875" bestFit="1" customWidth="1"/>
    <col min="5" max="5" width="10.44140625" bestFit="1" customWidth="1"/>
    <col min="6" max="6" width="11.6640625" bestFit="1" customWidth="1"/>
    <col min="7" max="7" width="14.33203125" bestFit="1" customWidth="1"/>
    <col min="8" max="8" width="25.6640625" bestFit="1" customWidth="1"/>
  </cols>
  <sheetData>
    <row r="2" spans="2:8" ht="18" x14ac:dyDescent="0.3">
      <c r="B2" s="12" t="s">
        <v>0</v>
      </c>
      <c r="C2" s="12" t="s">
        <v>56</v>
      </c>
      <c r="D2" s="12" t="s">
        <v>2</v>
      </c>
      <c r="E2" s="12" t="s">
        <v>3</v>
      </c>
      <c r="F2" s="12" t="s">
        <v>4</v>
      </c>
      <c r="G2" s="12" t="s">
        <v>9</v>
      </c>
      <c r="H2" s="12" t="s">
        <v>22</v>
      </c>
    </row>
    <row r="3" spans="2:8" x14ac:dyDescent="0.3">
      <c r="B3" s="13" t="s">
        <v>104</v>
      </c>
      <c r="C3" s="13" t="s">
        <v>75</v>
      </c>
      <c r="D3" s="13" t="s">
        <v>101</v>
      </c>
      <c r="E3" s="16">
        <v>4.55</v>
      </c>
      <c r="F3" s="14" t="s">
        <v>34</v>
      </c>
      <c r="G3" s="13" t="s">
        <v>83</v>
      </c>
      <c r="H3" s="15">
        <v>45520</v>
      </c>
    </row>
    <row r="4" spans="2:8" x14ac:dyDescent="0.3">
      <c r="B4" s="13" t="s">
        <v>105</v>
      </c>
      <c r="C4" s="13" t="s">
        <v>75</v>
      </c>
      <c r="D4" s="13" t="s">
        <v>102</v>
      </c>
      <c r="E4" s="16">
        <v>6.2</v>
      </c>
      <c r="F4" s="14" t="s">
        <v>34</v>
      </c>
      <c r="G4" s="13" t="s">
        <v>83</v>
      </c>
      <c r="H4" s="15">
        <v>45520</v>
      </c>
    </row>
    <row r="5" spans="2:8" x14ac:dyDescent="0.3">
      <c r="B5" s="13" t="s">
        <v>86</v>
      </c>
      <c r="C5" s="13" t="s">
        <v>75</v>
      </c>
      <c r="D5" s="13" t="s">
        <v>89</v>
      </c>
      <c r="E5" s="16">
        <v>15.5</v>
      </c>
      <c r="F5" s="14" t="s">
        <v>34</v>
      </c>
      <c r="G5" s="13" t="s">
        <v>83</v>
      </c>
      <c r="H5" s="15">
        <v>45520</v>
      </c>
    </row>
    <row r="6" spans="2:8" x14ac:dyDescent="0.3">
      <c r="B6" s="13" t="s">
        <v>87</v>
      </c>
      <c r="C6" s="13" t="s">
        <v>75</v>
      </c>
      <c r="D6" s="13" t="s">
        <v>88</v>
      </c>
      <c r="E6" s="16">
        <v>17.899999999999999</v>
      </c>
      <c r="F6" s="14" t="s">
        <v>34</v>
      </c>
      <c r="G6" s="13" t="s">
        <v>83</v>
      </c>
      <c r="H6" s="15">
        <v>45520</v>
      </c>
    </row>
    <row r="7" spans="2:8" x14ac:dyDescent="0.3">
      <c r="B7" s="13" t="s">
        <v>85</v>
      </c>
      <c r="C7" s="13" t="s">
        <v>57</v>
      </c>
      <c r="D7" s="13" t="s">
        <v>79</v>
      </c>
      <c r="E7" s="16">
        <v>7.9</v>
      </c>
      <c r="F7" s="14" t="s">
        <v>34</v>
      </c>
      <c r="G7" s="13" t="s">
        <v>78</v>
      </c>
      <c r="H7" s="15">
        <v>45520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2FD5-4EEA-4B06-80AE-34F905293EE3}">
  <sheetPr>
    <tabColor theme="0" tint="-0.249977111117893"/>
  </sheetPr>
  <dimension ref="B2:H15"/>
  <sheetViews>
    <sheetView showGridLines="0" showRowColHeaders="0" workbookViewId="0">
      <pane ySplit="2" topLeftCell="A3" activePane="bottomLeft" state="frozenSplit"/>
      <selection pane="bottomLeft" activeCell="B17" sqref="B17"/>
    </sheetView>
  </sheetViews>
  <sheetFormatPr defaultRowHeight="14.4" x14ac:dyDescent="0.3"/>
  <cols>
    <col min="1" max="1" width="3.5546875" customWidth="1"/>
    <col min="2" max="2" width="19.88671875" bestFit="1" customWidth="1"/>
    <col min="3" max="3" width="24" bestFit="1" customWidth="1"/>
    <col min="4" max="4" width="15.33203125" bestFit="1" customWidth="1"/>
    <col min="5" max="5" width="10.44140625" bestFit="1" customWidth="1"/>
    <col min="6" max="6" width="11.6640625" bestFit="1" customWidth="1"/>
    <col min="7" max="7" width="18.88671875" bestFit="1" customWidth="1"/>
    <col min="8" max="8" width="25.6640625" bestFit="1" customWidth="1"/>
  </cols>
  <sheetData>
    <row r="2" spans="2:8" ht="18" x14ac:dyDescent="0.3">
      <c r="B2" s="12" t="s">
        <v>0</v>
      </c>
      <c r="C2" s="12" t="s">
        <v>56</v>
      </c>
      <c r="D2" s="12" t="s">
        <v>2</v>
      </c>
      <c r="E2" s="12" t="s">
        <v>3</v>
      </c>
      <c r="F2" s="12" t="s">
        <v>4</v>
      </c>
      <c r="G2" s="12" t="s">
        <v>9</v>
      </c>
      <c r="H2" s="12" t="s">
        <v>22</v>
      </c>
    </row>
    <row r="3" spans="2:8" x14ac:dyDescent="0.3">
      <c r="B3" s="13" t="s">
        <v>58</v>
      </c>
      <c r="C3" s="13" t="s">
        <v>75</v>
      </c>
      <c r="D3" s="13" t="s">
        <v>48</v>
      </c>
      <c r="E3" s="16">
        <v>2.1</v>
      </c>
      <c r="F3" s="14" t="s">
        <v>34</v>
      </c>
      <c r="G3" s="13" t="s">
        <v>47</v>
      </c>
      <c r="H3" s="15">
        <v>45520</v>
      </c>
    </row>
    <row r="4" spans="2:8" x14ac:dyDescent="0.3">
      <c r="B4" s="13" t="s">
        <v>59</v>
      </c>
      <c r="C4" s="13" t="s">
        <v>75</v>
      </c>
      <c r="D4" s="13" t="s">
        <v>49</v>
      </c>
      <c r="E4" s="16">
        <v>4.05</v>
      </c>
      <c r="F4" s="14" t="s">
        <v>34</v>
      </c>
      <c r="G4" s="13" t="s">
        <v>47</v>
      </c>
      <c r="H4" s="15">
        <v>45520</v>
      </c>
    </row>
    <row r="5" spans="2:8" x14ac:dyDescent="0.3">
      <c r="B5" s="13" t="s">
        <v>60</v>
      </c>
      <c r="C5" s="13" t="s">
        <v>75</v>
      </c>
      <c r="D5" s="13" t="s">
        <v>50</v>
      </c>
      <c r="E5" s="16">
        <v>4.95</v>
      </c>
      <c r="F5" s="14" t="s">
        <v>34</v>
      </c>
      <c r="G5" s="13" t="s">
        <v>47</v>
      </c>
      <c r="H5" s="15">
        <v>45520</v>
      </c>
    </row>
    <row r="6" spans="2:8" x14ac:dyDescent="0.3">
      <c r="B6" s="13" t="s">
        <v>61</v>
      </c>
      <c r="C6" s="13" t="s">
        <v>75</v>
      </c>
      <c r="D6" s="13" t="s">
        <v>51</v>
      </c>
      <c r="E6" s="16">
        <v>6.55</v>
      </c>
      <c r="F6" s="14" t="s">
        <v>34</v>
      </c>
      <c r="G6" s="13" t="s">
        <v>47</v>
      </c>
      <c r="H6" s="15">
        <v>45520</v>
      </c>
    </row>
    <row r="7" spans="2:8" x14ac:dyDescent="0.3">
      <c r="B7" s="13" t="s">
        <v>62</v>
      </c>
      <c r="C7" s="13" t="s">
        <v>75</v>
      </c>
      <c r="D7" s="13" t="s">
        <v>55</v>
      </c>
      <c r="E7" s="16">
        <v>8.1</v>
      </c>
      <c r="F7" s="14" t="s">
        <v>34</v>
      </c>
      <c r="G7" s="13" t="s">
        <v>47</v>
      </c>
      <c r="H7" s="15">
        <v>45520</v>
      </c>
    </row>
    <row r="8" spans="2:8" x14ac:dyDescent="0.3">
      <c r="B8" s="13" t="s">
        <v>63</v>
      </c>
      <c r="C8" s="13" t="s">
        <v>75</v>
      </c>
      <c r="D8" s="13" t="s">
        <v>52</v>
      </c>
      <c r="E8" s="16">
        <v>9.75</v>
      </c>
      <c r="F8" s="14" t="s">
        <v>34</v>
      </c>
      <c r="G8" s="13" t="s">
        <v>53</v>
      </c>
      <c r="H8" s="15">
        <v>45520</v>
      </c>
    </row>
    <row r="9" spans="2:8" x14ac:dyDescent="0.3">
      <c r="B9" s="13" t="s">
        <v>64</v>
      </c>
      <c r="C9" s="13" t="s">
        <v>75</v>
      </c>
      <c r="D9" s="13" t="s">
        <v>54</v>
      </c>
      <c r="E9" s="16">
        <v>12.5</v>
      </c>
      <c r="F9" s="14" t="s">
        <v>34</v>
      </c>
      <c r="G9" s="13" t="s">
        <v>53</v>
      </c>
      <c r="H9" s="15">
        <v>45520</v>
      </c>
    </row>
    <row r="10" spans="2:8" x14ac:dyDescent="0.3">
      <c r="B10" s="13" t="s">
        <v>76</v>
      </c>
      <c r="C10" s="13" t="s">
        <v>57</v>
      </c>
      <c r="D10" s="13" t="s">
        <v>77</v>
      </c>
      <c r="E10" s="16">
        <v>2.8</v>
      </c>
      <c r="F10" s="14" t="s">
        <v>34</v>
      </c>
      <c r="G10" s="13" t="s">
        <v>47</v>
      </c>
      <c r="H10" s="15">
        <v>45520</v>
      </c>
    </row>
    <row r="11" spans="2:8" x14ac:dyDescent="0.3">
      <c r="B11" s="13" t="s">
        <v>65</v>
      </c>
      <c r="C11" s="13" t="s">
        <v>57</v>
      </c>
      <c r="D11" s="13" t="s">
        <v>70</v>
      </c>
      <c r="E11" s="16">
        <v>2.8</v>
      </c>
      <c r="F11" s="14" t="s">
        <v>34</v>
      </c>
      <c r="G11" s="13" t="s">
        <v>47</v>
      </c>
      <c r="H11" s="15">
        <v>45520</v>
      </c>
    </row>
    <row r="12" spans="2:8" x14ac:dyDescent="0.3">
      <c r="B12" s="13" t="s">
        <v>66</v>
      </c>
      <c r="C12" s="13" t="s">
        <v>57</v>
      </c>
      <c r="D12" s="13" t="s">
        <v>71</v>
      </c>
      <c r="E12" s="16">
        <v>3.05</v>
      </c>
      <c r="F12" s="14" t="s">
        <v>34</v>
      </c>
      <c r="G12" s="13" t="s">
        <v>47</v>
      </c>
      <c r="H12" s="15">
        <v>45520</v>
      </c>
    </row>
    <row r="13" spans="2:8" x14ac:dyDescent="0.3">
      <c r="B13" s="13" t="s">
        <v>67</v>
      </c>
      <c r="C13" s="13" t="s">
        <v>57</v>
      </c>
      <c r="D13" s="13" t="s">
        <v>72</v>
      </c>
      <c r="E13" s="16">
        <v>3.4</v>
      </c>
      <c r="F13" s="14" t="s">
        <v>34</v>
      </c>
      <c r="G13" s="13" t="s">
        <v>47</v>
      </c>
      <c r="H13" s="15">
        <v>45520</v>
      </c>
    </row>
    <row r="14" spans="2:8" x14ac:dyDescent="0.3">
      <c r="B14" s="13" t="s">
        <v>68</v>
      </c>
      <c r="C14" s="13" t="s">
        <v>57</v>
      </c>
      <c r="D14" s="13" t="s">
        <v>73</v>
      </c>
      <c r="E14" s="16">
        <v>4.05</v>
      </c>
      <c r="F14" s="14" t="s">
        <v>34</v>
      </c>
      <c r="G14" s="13" t="s">
        <v>47</v>
      </c>
      <c r="H14" s="15">
        <v>45520</v>
      </c>
    </row>
    <row r="15" spans="2:8" x14ac:dyDescent="0.3">
      <c r="B15" s="13" t="s">
        <v>69</v>
      </c>
      <c r="C15" s="13" t="s">
        <v>57</v>
      </c>
      <c r="D15" s="13" t="s">
        <v>74</v>
      </c>
      <c r="E15" s="16">
        <v>4.95</v>
      </c>
      <c r="F15" s="14" t="s">
        <v>34</v>
      </c>
      <c r="G15" s="13" t="s">
        <v>47</v>
      </c>
      <c r="H15" s="15">
        <v>45520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2:H5"/>
  <sheetViews>
    <sheetView showGridLines="0" showRowColHeaders="0" workbookViewId="0">
      <pane ySplit="2" topLeftCell="A3" activePane="bottomLeft" state="frozenSplit"/>
      <selection pane="bottomLeft" activeCell="B7" sqref="B7"/>
    </sheetView>
  </sheetViews>
  <sheetFormatPr defaultRowHeight="14.4" x14ac:dyDescent="0.3"/>
  <cols>
    <col min="1" max="1" width="3.5546875" customWidth="1"/>
    <col min="2" max="2" width="16.77734375" bestFit="1" customWidth="1"/>
    <col min="3" max="3" width="18.88671875" bestFit="1" customWidth="1"/>
    <col min="4" max="4" width="14.77734375" bestFit="1" customWidth="1"/>
    <col min="5" max="5" width="10.44140625" bestFit="1" customWidth="1"/>
    <col min="6" max="6" width="11.6640625" bestFit="1" customWidth="1"/>
    <col min="8" max="8" width="25.6640625" bestFit="1" customWidth="1"/>
  </cols>
  <sheetData>
    <row r="2" spans="1:8" ht="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9</v>
      </c>
      <c r="H2" s="1" t="s">
        <v>22</v>
      </c>
    </row>
    <row r="3" spans="1:8" x14ac:dyDescent="0.3">
      <c r="B3" s="8" t="s">
        <v>5</v>
      </c>
      <c r="C3" s="8" t="s">
        <v>6</v>
      </c>
      <c r="D3" s="8" t="s">
        <v>7</v>
      </c>
      <c r="E3" s="11">
        <v>5.5</v>
      </c>
      <c r="F3" s="8" t="s">
        <v>34</v>
      </c>
      <c r="G3" s="8" t="s">
        <v>8</v>
      </c>
      <c r="H3" s="9">
        <v>45520</v>
      </c>
    </row>
    <row r="4" spans="1:8" x14ac:dyDescent="0.3">
      <c r="B4" s="8" t="s">
        <v>10</v>
      </c>
      <c r="C4" s="8" t="s">
        <v>6</v>
      </c>
      <c r="D4" s="8" t="s">
        <v>11</v>
      </c>
      <c r="E4" s="11">
        <v>3.9</v>
      </c>
      <c r="F4" s="8" t="s">
        <v>34</v>
      </c>
      <c r="G4" s="8" t="s">
        <v>8</v>
      </c>
      <c r="H4" s="9">
        <v>45520</v>
      </c>
    </row>
    <row r="5" spans="1:8" x14ac:dyDescent="0.3">
      <c r="A5" t="s">
        <v>27</v>
      </c>
      <c r="B5" s="8" t="s">
        <v>123</v>
      </c>
      <c r="C5" s="8" t="s">
        <v>121</v>
      </c>
      <c r="D5" s="8" t="s">
        <v>122</v>
      </c>
      <c r="E5" s="11">
        <v>9.5</v>
      </c>
      <c r="F5" s="17" t="s">
        <v>34</v>
      </c>
      <c r="G5" s="8" t="s">
        <v>8</v>
      </c>
      <c r="H5" s="9">
        <v>45565</v>
      </c>
    </row>
  </sheetData>
  <hyperlinks>
    <hyperlink ref="F5" r:id="rId1" xr:uid="{8CF9C6F7-B600-499C-A9AF-EBFBDC6094AA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1A26-6097-43D5-861B-05E86AAD003B}">
  <sheetPr>
    <tabColor theme="5" tint="-0.249977111117893"/>
  </sheetPr>
  <dimension ref="B2:H4"/>
  <sheetViews>
    <sheetView showGridLines="0" showRowColHeaders="0" workbookViewId="0">
      <pane ySplit="2" topLeftCell="A3" activePane="bottomLeft" state="frozenSplit"/>
      <selection pane="bottomLeft" activeCell="B6" sqref="B6"/>
    </sheetView>
  </sheetViews>
  <sheetFormatPr defaultRowHeight="14.4" x14ac:dyDescent="0.3"/>
  <cols>
    <col min="1" max="1" width="3.5546875" customWidth="1"/>
    <col min="2" max="2" width="12.21875" bestFit="1" customWidth="1"/>
    <col min="3" max="3" width="18.88671875" bestFit="1" customWidth="1"/>
    <col min="4" max="4" width="14.77734375" bestFit="1" customWidth="1"/>
    <col min="5" max="5" width="10.44140625" bestFit="1" customWidth="1"/>
    <col min="6" max="6" width="11.6640625" bestFit="1" customWidth="1"/>
    <col min="7" max="7" width="7.6640625" bestFit="1" customWidth="1"/>
    <col min="8" max="8" width="25.6640625" bestFit="1" customWidth="1"/>
  </cols>
  <sheetData>
    <row r="2" spans="2:8" ht="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9</v>
      </c>
      <c r="H2" s="1" t="s">
        <v>22</v>
      </c>
    </row>
    <row r="3" spans="2:8" x14ac:dyDescent="0.3">
      <c r="B3" s="8" t="s">
        <v>14</v>
      </c>
      <c r="C3" s="8" t="s">
        <v>13</v>
      </c>
      <c r="D3" s="8" t="s">
        <v>16</v>
      </c>
      <c r="E3" s="11">
        <v>3.9</v>
      </c>
      <c r="F3" s="2" t="s">
        <v>34</v>
      </c>
      <c r="G3" s="8" t="s">
        <v>12</v>
      </c>
      <c r="H3" s="9">
        <v>45520</v>
      </c>
    </row>
    <row r="4" spans="2:8" x14ac:dyDescent="0.3">
      <c r="B4" s="8" t="s">
        <v>15</v>
      </c>
      <c r="C4" s="8" t="s">
        <v>13</v>
      </c>
      <c r="D4" s="8" t="s">
        <v>17</v>
      </c>
      <c r="E4" s="11">
        <v>4.5</v>
      </c>
      <c r="F4" s="2" t="s">
        <v>34</v>
      </c>
      <c r="G4" s="8" t="s">
        <v>12</v>
      </c>
      <c r="H4" s="9">
        <v>45520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BOM</vt:lpstr>
      <vt:lpstr>Materiale elettrico</vt:lpstr>
      <vt:lpstr>Materiale plastico</vt:lpstr>
      <vt:lpstr>Ferramenta</vt:lpstr>
      <vt:lpstr>Scatolati in alluminio</vt:lpstr>
      <vt:lpstr>Scatolati in acciao</vt:lpstr>
      <vt:lpstr>Piattine in alluminio</vt:lpstr>
      <vt:lpstr>Canalini a U in alluminio</vt:lpstr>
      <vt:lpstr>Tondini in alluminio</vt:lpstr>
      <vt:lpstr>Listelli in legno</vt:lpstr>
      <vt:lpstr>Tondini in legno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Masili Marcello</dc:creator>
  <cp:lastModifiedBy>Masili Marcello</cp:lastModifiedBy>
  <dcterms:created xsi:type="dcterms:W3CDTF">2015-06-05T18:19:34Z</dcterms:created>
  <dcterms:modified xsi:type="dcterms:W3CDTF">2025-06-05T13:24:40Z</dcterms:modified>
</cp:coreProperties>
</file>
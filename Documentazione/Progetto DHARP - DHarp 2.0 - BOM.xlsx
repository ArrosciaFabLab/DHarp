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masili\Documents\GitHub\DHarp\Documentazione\"/>
    </mc:Choice>
  </mc:AlternateContent>
  <xr:revisionPtr revIDLastSave="0" documentId="13_ncr:1_{EC9DFB67-19F2-4FCB-B0C5-25D0E2A643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M" sheetId="12" r:id="rId1"/>
    <sheet name="Materiale elettrico" sheetId="6" r:id="rId2"/>
    <sheet name="Materiale plastico" sheetId="13" r:id="rId3"/>
    <sheet name="Ferramenta" sheetId="16" r:id="rId4"/>
    <sheet name="Scatolati in alluminio" sheetId="8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6" i="12" l="1"/>
  <c r="G14" i="12"/>
  <c r="G4" i="16"/>
  <c r="G3" i="16"/>
  <c r="G15" i="12" s="1"/>
  <c r="G5" i="16"/>
  <c r="G17" i="12" s="1"/>
  <c r="F3" i="6"/>
  <c r="G7" i="12" s="1"/>
  <c r="G12" i="12"/>
  <c r="G11" i="12"/>
  <c r="G5" i="8"/>
  <c r="G6" i="8"/>
  <c r="G7" i="8"/>
  <c r="G4" i="8"/>
  <c r="G3" i="8"/>
  <c r="G3" i="13"/>
  <c r="G6" i="12" s="1"/>
  <c r="G4" i="13"/>
  <c r="G5" i="13"/>
  <c r="G9" i="12" s="1"/>
  <c r="G6" i="13"/>
  <c r="G10" i="12" s="1"/>
  <c r="G7" i="13"/>
  <c r="G8" i="13"/>
  <c r="F4" i="6"/>
  <c r="G6" i="16"/>
  <c r="G8" i="16"/>
  <c r="G13" i="12" s="1"/>
  <c r="F8" i="12"/>
  <c r="G8" i="12" l="1"/>
  <c r="G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tc={A548CBB1-CADB-44A3-B7E5-193D259A46E5}</author>
  </authors>
  <commentList>
    <comment ref="F8" authorId="0" shapeId="0" xr:uid="{A548CBB1-CADB-44A3-B7E5-193D259A46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Percentuale del totale</t>
      </text>
    </comment>
  </commentList>
</comments>
</file>

<file path=xl/sharedStrings.xml><?xml version="1.0" encoding="utf-8"?>
<sst xmlns="http://schemas.openxmlformats.org/spreadsheetml/2006/main" count="232" uniqueCount="103">
  <si>
    <t>CODICE</t>
  </si>
  <si>
    <t>DIMENSIONI</t>
  </si>
  <si>
    <t>PREZZO</t>
  </si>
  <si>
    <t>NEGOZIO</t>
  </si>
  <si>
    <t>NOTE</t>
  </si>
  <si>
    <t>FUNZIONE</t>
  </si>
  <si>
    <t>MARCA</t>
  </si>
  <si>
    <t>MODELLO</t>
  </si>
  <si>
    <t>Amazon</t>
  </si>
  <si>
    <t>DATA VALUTAZIONE</t>
  </si>
  <si>
    <t>✔</t>
  </si>
  <si>
    <t>QUANTITA</t>
  </si>
  <si>
    <t>BricoIo</t>
  </si>
  <si>
    <t>TOTALE</t>
  </si>
  <si>
    <t>SCAALU23,5x23,5x1000x1,5</t>
  </si>
  <si>
    <t>SCAALU15,5x27,5x1000x1,5</t>
  </si>
  <si>
    <t>-</t>
  </si>
  <si>
    <t>Self</t>
  </si>
  <si>
    <t>Alfer Aluminium</t>
  </si>
  <si>
    <t>PE colore nero</t>
  </si>
  <si>
    <t>Tappi per i profilati in alluminio quadrati</t>
  </si>
  <si>
    <t>CAVACC0.3</t>
  </si>
  <si>
    <t>Benecreat</t>
  </si>
  <si>
    <t>Cavo di acciaio inox 304 spessore 0,3 mm lunghezza 300 m</t>
  </si>
  <si>
    <t xml:space="preserve">TWIR-WH0002-05-0.3mm-EU </t>
  </si>
  <si>
    <t>MATERIALE</t>
  </si>
  <si>
    <t>40 x 40 x 20 x 2 mm</t>
  </si>
  <si>
    <t>Rivetti diametro 3,2 mm per spessori 2 - 4 mm</t>
  </si>
  <si>
    <t>RIVET3.2x2-4</t>
  </si>
  <si>
    <t>XL a testa larga - D 3,2 mm</t>
  </si>
  <si>
    <t>Isaberg Rapid AB</t>
  </si>
  <si>
    <t>L 8 x D 3,2 mm D testa 10 mm</t>
  </si>
  <si>
    <t>SCAALUAA23,5x23,5x1000x1,5</t>
  </si>
  <si>
    <t>Filamento elettrico dell'arpa (circa 22 m)</t>
  </si>
  <si>
    <t>PVC colore bianco</t>
  </si>
  <si>
    <t>ELLE43.5x23.5x1000x1.5</t>
  </si>
  <si>
    <t>Progetto DHARP - DHarp 2.0 - Bill Of Material</t>
  </si>
  <si>
    <t>TAPPO23.5x23.5</t>
  </si>
  <si>
    <t>29830</t>
  </si>
  <si>
    <t>Alfer</t>
  </si>
  <si>
    <t>TAPPO25x15</t>
  </si>
  <si>
    <t>PD</t>
  </si>
  <si>
    <t>QUANTITA' PER CONFEZIONE</t>
  </si>
  <si>
    <t>Sruttura dell'arpa</t>
  </si>
  <si>
    <t>Griglia del filamento elettrico</t>
  </si>
  <si>
    <t>PREZZO UNITARIO</t>
  </si>
  <si>
    <t>PREZZO FATTURA</t>
  </si>
  <si>
    <t>SPEDIZIONE, TASSE &amp; SCONTI</t>
  </si>
  <si>
    <t>Costruzione della struttura superiore</t>
  </si>
  <si>
    <t>Costruzione della base</t>
  </si>
  <si>
    <t>TAPPO30x15</t>
  </si>
  <si>
    <t>30 x 15 mm</t>
  </si>
  <si>
    <t>25 x 15 mm</t>
  </si>
  <si>
    <t>23,5 x 23,5 mm</t>
  </si>
  <si>
    <t>TAPPO25x25</t>
  </si>
  <si>
    <t>25 x 25 mm</t>
  </si>
  <si>
    <t>Alluminio e acciaio</t>
  </si>
  <si>
    <t>PIATTINA35.5x1000x3</t>
  </si>
  <si>
    <t>21854</t>
  </si>
  <si>
    <t>35,5 x 1000 x 3 mm</t>
  </si>
  <si>
    <t>43,5 x 23,5 x 1000 x 1,5 mm</t>
  </si>
  <si>
    <t>Da usare (solo metà) nell'estremità inferiore della griglia in alternativa all'angolare in PVC</t>
  </si>
  <si>
    <t>Si usa tagliandela a metà: una metà nella parte superiore e una metà nella parte inferiore modificata in piattina</t>
  </si>
  <si>
    <t>15,5x27,5 x 1000 x 1,5 mm</t>
  </si>
  <si>
    <t>23,5 x 23,5 x 1000 x 1,5 mm</t>
  </si>
  <si>
    <t>Alluminio aturale</t>
  </si>
  <si>
    <t>Alluminio anodizzato argento</t>
  </si>
  <si>
    <t>Per unire tutte le componenti della struttura</t>
  </si>
  <si>
    <t>RUNCCI-YUN</t>
  </si>
  <si>
    <t>Connettori a banana da 4 mm femmina</t>
  </si>
  <si>
    <t>BANF4MM</t>
  </si>
  <si>
    <t>R841</t>
  </si>
  <si>
    <t>Connessione con le 2 linee di filamento</t>
  </si>
  <si>
    <t>Costruzione della struttura del telaio</t>
  </si>
  <si>
    <t>Tappi per i profilati in alluminio rettangolari</t>
  </si>
  <si>
    <t>Tappi per impermealizzazione dei profilati di sezione quadrata</t>
  </si>
  <si>
    <t>Tappi per impermealizzazione dei profilati di sezione rettangolare</t>
  </si>
  <si>
    <t>Hettich</t>
  </si>
  <si>
    <t>Piastrina angolare sinistra</t>
  </si>
  <si>
    <t>Piastrina angolare destra</t>
  </si>
  <si>
    <t>ANGOL60x45x16x1.5</t>
  </si>
  <si>
    <t>ANGOR60x45x16x1.5</t>
  </si>
  <si>
    <t>60 x 45 x 16 x 1,5 mm</t>
  </si>
  <si>
    <t>Acciaio galvanizzato</t>
  </si>
  <si>
    <t>Self - Bricofer</t>
  </si>
  <si>
    <t>MASIDEF</t>
  </si>
  <si>
    <t>Piastrina asolata ad angolo ad L lunga</t>
  </si>
  <si>
    <t>Piastrina asolata ad angolo ad L corta</t>
  </si>
  <si>
    <t>Per unire gli scatolati in alluminio</t>
  </si>
  <si>
    <t>Per fissare la piattina inferiore di plastica</t>
  </si>
  <si>
    <t>Per sorreggere la vaschetta in retina</t>
  </si>
  <si>
    <t>DESCRIZIONE</t>
  </si>
  <si>
    <t>80 x 80 x 20 x 2 mm</t>
  </si>
  <si>
    <t>DY2006776</t>
  </si>
  <si>
    <t>ELLEFER50x50x20X2</t>
  </si>
  <si>
    <t>ELLEFER100x100x20x2</t>
  </si>
  <si>
    <t>DY2006779</t>
  </si>
  <si>
    <t>Acciaio Inox A2 - AISI 304, resistente a ruggine e corrosione</t>
  </si>
  <si>
    <t>Piastrina dritta forata</t>
  </si>
  <si>
    <t>Acciaio zincato bianco</t>
  </si>
  <si>
    <t>PIASTRA200x20x2</t>
  </si>
  <si>
    <t>DY200101MZ</t>
  </si>
  <si>
    <t>200 x 20 x 2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</si>
</sst>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[$-F800]dddd\,\ mmmm\ dd\,\ yyyy"/>
    <numFmt numFmtId="166" formatCode="0.000"/>
  </numFmts>
  <fonts count="1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0"/>
      <name val="Trebuchet MS"/>
      <family val="2"/>
    </font>
    <font>
      <b/>
      <sz val="16"/>
      <color theme="0"/>
      <name val="Trebuchet MS"/>
      <family val="2"/>
    </font>
    <font>
      <b/>
      <sz val="18"/>
      <color rgb="FFFF0000"/>
      <name val="Trebuchet MS"/>
      <family val="2"/>
    </font>
    <font>
      <b/>
      <sz val="11"/>
      <color theme="1"/>
      <name val="Calibri"/>
      <family val="2"/>
      <scheme val="minor"/>
    </font>
    <font>
      <b/>
      <sz val="11"/>
      <color theme="1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6"/>
      <color rgb="FFC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2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Dashed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Dashed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3">
    <xf numFmtId="0" fontId="0" fillId="0" borderId="0" xfId="0"/>
    <xf numFmtId="0" fontId="4" fillId="0" borderId="0" xfId="0" applyFont="1"/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3" borderId="8" xfId="0" applyFill="1" applyBorder="1" applyAlignment="1">
      <alignment horizontal="left" vertical="center"/>
    </xf>
    <xf numFmtId="1" fontId="0" fillId="3" borderId="8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0" fillId="3" borderId="11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center" vertical="center"/>
    </xf>
    <xf numFmtId="0" fontId="0" fillId="3" borderId="12" xfId="0" applyFill="1" applyBorder="1" applyAlignment="1">
      <alignment horizontal="left" vertical="center"/>
    </xf>
    <xf numFmtId="0" fontId="0" fillId="3" borderId="14" xfId="0" applyFill="1" applyBorder="1" applyAlignment="1">
      <alignment horizontal="left" vertical="center"/>
    </xf>
    <xf numFmtId="166" fontId="0" fillId="3" borderId="14" xfId="0" applyNumberFormat="1" applyFill="1" applyBorder="1" applyAlignment="1">
      <alignment horizontal="center" vertical="center"/>
    </xf>
    <xf numFmtId="0" fontId="0" fillId="3" borderId="15" xfId="0" applyFill="1" applyBorder="1" applyAlignment="1">
      <alignment horizontal="left" vertical="center"/>
    </xf>
    <xf numFmtId="0" fontId="0" fillId="10" borderId="5" xfId="0" applyFill="1" applyBorder="1" applyAlignment="1">
      <alignment horizontal="left" vertical="center"/>
    </xf>
    <xf numFmtId="49" fontId="0" fillId="10" borderId="5" xfId="0" applyNumberFormat="1" applyFill="1" applyBorder="1" applyAlignment="1">
      <alignment horizontal="left" vertical="center"/>
    </xf>
    <xf numFmtId="165" fontId="0" fillId="10" borderId="5" xfId="0" applyNumberFormat="1" applyFill="1" applyBorder="1" applyAlignment="1">
      <alignment horizontal="left" vertical="center"/>
    </xf>
    <xf numFmtId="0" fontId="0" fillId="10" borderId="6" xfId="0" applyFill="1" applyBorder="1" applyAlignment="1">
      <alignment horizontal="left" vertical="center"/>
    </xf>
    <xf numFmtId="0" fontId="0" fillId="10" borderId="8" xfId="0" applyFill="1" applyBorder="1" applyAlignment="1">
      <alignment horizontal="left" vertical="center"/>
    </xf>
    <xf numFmtId="49" fontId="0" fillId="10" borderId="8" xfId="0" applyNumberFormat="1" applyFill="1" applyBorder="1" applyAlignment="1">
      <alignment horizontal="left" vertical="center"/>
    </xf>
    <xf numFmtId="165" fontId="0" fillId="10" borderId="8" xfId="0" applyNumberFormat="1" applyFill="1" applyBorder="1" applyAlignment="1">
      <alignment horizontal="left" vertical="center"/>
    </xf>
    <xf numFmtId="0" fontId="0" fillId="10" borderId="9" xfId="0" applyFill="1" applyBorder="1" applyAlignment="1">
      <alignment horizontal="left" vertical="center"/>
    </xf>
    <xf numFmtId="0" fontId="0" fillId="10" borderId="11" xfId="0" applyFill="1" applyBorder="1" applyAlignment="1">
      <alignment horizontal="left" vertical="center"/>
    </xf>
    <xf numFmtId="49" fontId="0" fillId="10" borderId="11" xfId="0" applyNumberFormat="1" applyFill="1" applyBorder="1" applyAlignment="1">
      <alignment horizontal="left" vertical="center"/>
    </xf>
    <xf numFmtId="165" fontId="0" fillId="10" borderId="11" xfId="0" applyNumberFormat="1" applyFill="1" applyBorder="1" applyAlignment="1">
      <alignment horizontal="left" vertical="center"/>
    </xf>
    <xf numFmtId="0" fontId="0" fillId="10" borderId="12" xfId="0" applyFill="1" applyBorder="1" applyAlignment="1">
      <alignment horizontal="left" vertical="center"/>
    </xf>
    <xf numFmtId="0" fontId="2" fillId="9" borderId="1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18" xfId="0" applyFont="1" applyFill="1" applyBorder="1" applyAlignment="1">
      <alignment horizontal="center" vertical="center"/>
    </xf>
    <xf numFmtId="0" fontId="0" fillId="7" borderId="5" xfId="0" applyFill="1" applyBorder="1"/>
    <xf numFmtId="0" fontId="0" fillId="7" borderId="8" xfId="0" applyFill="1" applyBorder="1" applyAlignment="1">
      <alignment horizontal="left" vertical="center"/>
    </xf>
    <xf numFmtId="0" fontId="0" fillId="7" borderId="11" xfId="0" applyFill="1" applyBorder="1" applyAlignment="1">
      <alignment horizontal="left" vertical="center"/>
    </xf>
    <xf numFmtId="0" fontId="0" fillId="7" borderId="11" xfId="0" applyFill="1" applyBorder="1"/>
    <xf numFmtId="0" fontId="2" fillId="6" borderId="16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left" vertical="center"/>
    </xf>
    <xf numFmtId="0" fontId="6" fillId="10" borderId="4" xfId="1" applyFont="1" applyFill="1" applyBorder="1" applyAlignment="1">
      <alignment horizontal="left" vertical="center"/>
    </xf>
    <xf numFmtId="0" fontId="6" fillId="10" borderId="7" xfId="1" applyFont="1" applyFill="1" applyBorder="1" applyAlignment="1">
      <alignment horizontal="left" vertical="center"/>
    </xf>
    <xf numFmtId="0" fontId="7" fillId="7" borderId="7" xfId="1" applyFont="1" applyFill="1" applyBorder="1" applyAlignment="1">
      <alignment horizontal="left" vertical="center"/>
    </xf>
    <xf numFmtId="3" fontId="5" fillId="8" borderId="11" xfId="0" applyNumberFormat="1" applyFont="1" applyFill="1" applyBorder="1" applyAlignment="1">
      <alignment horizontal="right" vertical="center"/>
    </xf>
    <xf numFmtId="3" fontId="5" fillId="8" borderId="8" xfId="0" applyNumberFormat="1" applyFont="1" applyFill="1" applyBorder="1" applyAlignment="1">
      <alignment horizontal="right" vertical="center"/>
    </xf>
    <xf numFmtId="165" fontId="0" fillId="7" borderId="2" xfId="0" applyNumberFormat="1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165" fontId="0" fillId="7" borderId="8" xfId="0" applyNumberFormat="1" applyFill="1" applyBorder="1" applyAlignment="1">
      <alignment horizontal="left" vertical="center"/>
    </xf>
    <xf numFmtId="0" fontId="0" fillId="7" borderId="9" xfId="0" applyFill="1" applyBorder="1" applyAlignment="1">
      <alignment horizontal="left" vertical="center"/>
    </xf>
    <xf numFmtId="0" fontId="6" fillId="3" borderId="4" xfId="1" applyFont="1" applyFill="1" applyBorder="1" applyAlignment="1">
      <alignment horizontal="left" vertical="center"/>
    </xf>
    <xf numFmtId="49" fontId="0" fillId="3" borderId="11" xfId="0" applyNumberFormat="1" applyFill="1" applyBorder="1" applyAlignment="1">
      <alignment horizontal="left" vertical="center"/>
    </xf>
    <xf numFmtId="0" fontId="6" fillId="3" borderId="13" xfId="1" applyFont="1" applyFill="1" applyBorder="1" applyAlignment="1">
      <alignment horizontal="left" vertical="center"/>
    </xf>
    <xf numFmtId="164" fontId="8" fillId="11" borderId="2" xfId="0" applyNumberFormat="1" applyFont="1" applyFill="1" applyBorder="1" applyAlignment="1">
      <alignment horizontal="right" vertical="center"/>
    </xf>
    <xf numFmtId="164" fontId="8" fillId="11" borderId="5" xfId="0" applyNumberFormat="1" applyFont="1" applyFill="1" applyBorder="1" applyAlignment="1">
      <alignment horizontal="right" vertical="center"/>
    </xf>
    <xf numFmtId="164" fontId="8" fillId="11" borderId="8" xfId="0" applyNumberFormat="1" applyFont="1" applyFill="1" applyBorder="1" applyAlignment="1">
      <alignment horizontal="right" vertical="center"/>
    </xf>
    <xf numFmtId="164" fontId="8" fillId="11" borderId="11" xfId="0" applyNumberFormat="1" applyFont="1" applyFill="1" applyBorder="1" applyAlignment="1">
      <alignment horizontal="right" vertical="center"/>
    </xf>
    <xf numFmtId="164" fontId="9" fillId="5" borderId="11" xfId="0" applyNumberFormat="1" applyFont="1" applyFill="1" applyBorder="1" applyAlignment="1">
      <alignment horizontal="right" vertical="center"/>
    </xf>
    <xf numFmtId="164" fontId="9" fillId="5" borderId="14" xfId="0" applyNumberFormat="1" applyFont="1" applyFill="1" applyBorder="1" applyAlignment="1">
      <alignment horizontal="right" vertical="center"/>
    </xf>
    <xf numFmtId="164" fontId="10" fillId="5" borderId="1" xfId="0" applyNumberFormat="1" applyFont="1" applyFill="1" applyBorder="1" applyAlignment="1">
      <alignment vertical="center"/>
    </xf>
    <xf numFmtId="49" fontId="0" fillId="3" borderId="5" xfId="0" applyNumberFormat="1" applyFill="1" applyBorder="1" applyAlignment="1">
      <alignment horizontal="left" vertical="center"/>
    </xf>
    <xf numFmtId="165" fontId="0" fillId="7" borderId="5" xfId="0" applyNumberFormat="1" applyFill="1" applyBorder="1" applyAlignment="1">
      <alignment horizontal="left" vertical="center"/>
    </xf>
    <xf numFmtId="1" fontId="5" fillId="15" borderId="11" xfId="0" applyNumberFormat="1" applyFont="1" applyFill="1" applyBorder="1" applyAlignment="1">
      <alignment horizontal="right" vertical="center"/>
    </xf>
    <xf numFmtId="1" fontId="5" fillId="15" borderId="5" xfId="0" applyNumberFormat="1" applyFont="1" applyFill="1" applyBorder="1" applyAlignment="1">
      <alignment horizontal="right" vertical="center"/>
    </xf>
    <xf numFmtId="1" fontId="5" fillId="15" borderId="8" xfId="0" applyNumberFormat="1" applyFont="1" applyFill="1" applyBorder="1" applyAlignment="1">
      <alignment horizontal="right" vertical="center"/>
    </xf>
    <xf numFmtId="164" fontId="8" fillId="8" borderId="11" xfId="0" applyNumberFormat="1" applyFont="1" applyFill="1" applyBorder="1" applyAlignment="1">
      <alignment horizontal="right" vertical="center"/>
    </xf>
    <xf numFmtId="164" fontId="8" fillId="8" borderId="8" xfId="0" applyNumberFormat="1" applyFont="1" applyFill="1" applyBorder="1" applyAlignment="1">
      <alignment horizontal="right" vertical="center"/>
    </xf>
    <xf numFmtId="164" fontId="8" fillId="8" borderId="5" xfId="0" applyNumberFormat="1" applyFont="1" applyFill="1" applyBorder="1" applyAlignment="1">
      <alignment horizontal="right" vertical="center"/>
    </xf>
    <xf numFmtId="164" fontId="9" fillId="5" borderId="8" xfId="0" applyNumberFormat="1" applyFont="1" applyFill="1" applyBorder="1" applyAlignment="1">
      <alignment horizontal="right" vertical="center"/>
    </xf>
    <xf numFmtId="0" fontId="2" fillId="6" borderId="19" xfId="0" applyFont="1" applyFill="1" applyBorder="1" applyAlignment="1">
      <alignment horizontal="center" vertical="center"/>
    </xf>
    <xf numFmtId="0" fontId="7" fillId="14" borderId="20" xfId="1" applyFont="1" applyFill="1" applyBorder="1" applyAlignment="1">
      <alignment horizontal="left" vertical="center"/>
    </xf>
    <xf numFmtId="0" fontId="0" fillId="14" borderId="21" xfId="0" applyFill="1" applyBorder="1" applyAlignment="1">
      <alignment horizontal="left" vertical="center"/>
    </xf>
    <xf numFmtId="164" fontId="8" fillId="2" borderId="21" xfId="0" applyNumberFormat="1" applyFont="1" applyFill="1" applyBorder="1" applyAlignment="1">
      <alignment horizontal="right" vertical="center"/>
    </xf>
    <xf numFmtId="3" fontId="5" fillId="2" borderId="21" xfId="0" applyNumberFormat="1" applyFont="1" applyFill="1" applyBorder="1" applyAlignment="1">
      <alignment horizontal="right" vertical="center"/>
    </xf>
    <xf numFmtId="165" fontId="0" fillId="14" borderId="21" xfId="0" applyNumberFormat="1" applyFill="1" applyBorder="1" applyAlignment="1">
      <alignment horizontal="left" vertical="center"/>
    </xf>
    <xf numFmtId="0" fontId="0" fillId="14" borderId="22" xfId="0" applyFill="1" applyBorder="1" applyAlignment="1">
      <alignment horizontal="left" vertical="center"/>
    </xf>
    <xf numFmtId="0" fontId="7" fillId="14" borderId="23" xfId="1" applyFont="1" applyFill="1" applyBorder="1" applyAlignment="1">
      <alignment horizontal="left" vertical="center"/>
    </xf>
    <xf numFmtId="0" fontId="0" fillId="14" borderId="2" xfId="0" applyFill="1" applyBorder="1" applyAlignment="1">
      <alignment horizontal="left" vertical="center"/>
    </xf>
    <xf numFmtId="164" fontId="8" fillId="2" borderId="2" xfId="0" applyNumberFormat="1" applyFont="1" applyFill="1" applyBorder="1" applyAlignment="1">
      <alignment horizontal="right" vertical="center"/>
    </xf>
    <xf numFmtId="3" fontId="5" fillId="2" borderId="2" xfId="0" applyNumberFormat="1" applyFont="1" applyFill="1" applyBorder="1" applyAlignment="1">
      <alignment horizontal="right" vertical="center"/>
    </xf>
    <xf numFmtId="165" fontId="0" fillId="14" borderId="2" xfId="0" applyNumberFormat="1" applyFill="1" applyBorder="1" applyAlignment="1">
      <alignment horizontal="left" vertical="center"/>
    </xf>
    <xf numFmtId="0" fontId="0" fillId="14" borderId="3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/>
    </xf>
    <xf numFmtId="1" fontId="0" fillId="3" borderId="24" xfId="0" applyNumberFormat="1" applyFill="1" applyBorder="1" applyAlignment="1">
      <alignment horizontal="center" vertical="center"/>
    </xf>
    <xf numFmtId="164" fontId="9" fillId="5" borderId="24" xfId="0" applyNumberFormat="1" applyFont="1" applyFill="1" applyBorder="1" applyAlignment="1">
      <alignment horizontal="right" vertical="center"/>
    </xf>
    <xf numFmtId="0" fontId="0" fillId="3" borderId="25" xfId="0" applyFill="1" applyBorder="1" applyAlignment="1">
      <alignment horizontal="left" vertical="center"/>
    </xf>
    <xf numFmtId="0" fontId="0" fillId="7" borderId="6" xfId="0" applyFill="1" applyBorder="1" applyAlignment="1">
      <alignment horizontal="left" vertical="center"/>
    </xf>
    <xf numFmtId="165" fontId="0" fillId="7" borderId="11" xfId="0" applyNumberFormat="1" applyFill="1" applyBorder="1" applyAlignment="1">
      <alignment horizontal="left" vertical="center"/>
    </xf>
    <xf numFmtId="0" fontId="0" fillId="7" borderId="12" xfId="0" applyFill="1" applyBorder="1" applyAlignment="1">
      <alignment horizontal="left" vertical="center"/>
    </xf>
    <xf numFmtId="0" fontId="7" fillId="7" borderId="10" xfId="1" applyFont="1" applyFill="1" applyBorder="1" applyAlignment="1">
      <alignment horizontal="left" vertical="center"/>
    </xf>
    <xf numFmtId="0" fontId="0" fillId="3" borderId="26" xfId="0" applyFill="1" applyBorder="1" applyAlignment="1">
      <alignment horizontal="left" vertical="center"/>
    </xf>
    <xf numFmtId="1" fontId="0" fillId="3" borderId="26" xfId="0" applyNumberFormat="1" applyFill="1" applyBorder="1" applyAlignment="1">
      <alignment horizontal="center" vertical="center"/>
    </xf>
    <xf numFmtId="0" fontId="0" fillId="3" borderId="27" xfId="0" applyFill="1" applyBorder="1" applyAlignment="1">
      <alignment horizontal="left" vertical="center"/>
    </xf>
    <xf numFmtId="0" fontId="6" fillId="3" borderId="7" xfId="1" applyFont="1" applyFill="1" applyBorder="1" applyAlignment="1">
      <alignment horizontal="left" vertical="center"/>
    </xf>
    <xf numFmtId="0" fontId="7" fillId="12" borderId="4" xfId="1" applyFont="1" applyFill="1" applyBorder="1" applyAlignment="1">
      <alignment horizontal="left" vertical="center"/>
    </xf>
    <xf numFmtId="0" fontId="0" fillId="12" borderId="5" xfId="0" applyFill="1" applyBorder="1" applyAlignment="1">
      <alignment horizontal="left" vertical="center"/>
    </xf>
    <xf numFmtId="0" fontId="0" fillId="12" borderId="6" xfId="0" applyFill="1" applyBorder="1" applyAlignment="1">
      <alignment horizontal="left" vertical="center"/>
    </xf>
    <xf numFmtId="0" fontId="7" fillId="7" borderId="28" xfId="1" applyFont="1" applyFill="1" applyBorder="1" applyAlignment="1">
      <alignment horizontal="left" vertical="center"/>
    </xf>
    <xf numFmtId="0" fontId="0" fillId="7" borderId="24" xfId="0" applyFill="1" applyBorder="1" applyAlignment="1">
      <alignment horizontal="left" vertical="center"/>
    </xf>
    <xf numFmtId="164" fontId="8" fillId="8" borderId="24" xfId="0" applyNumberFormat="1" applyFont="1" applyFill="1" applyBorder="1" applyAlignment="1">
      <alignment horizontal="right" vertical="center"/>
    </xf>
    <xf numFmtId="3" fontId="5" fillId="8" borderId="24" xfId="0" applyNumberFormat="1" applyFont="1" applyFill="1" applyBorder="1" applyAlignment="1">
      <alignment horizontal="right" vertical="center"/>
    </xf>
    <xf numFmtId="0" fontId="0" fillId="7" borderId="24" xfId="0" applyFill="1" applyBorder="1"/>
    <xf numFmtId="165" fontId="0" fillId="7" borderId="26" xfId="0" applyNumberFormat="1" applyFill="1" applyBorder="1" applyAlignment="1">
      <alignment horizontal="left" vertical="center"/>
    </xf>
    <xf numFmtId="0" fontId="0" fillId="7" borderId="27" xfId="0" applyFill="1" applyBorder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1" defaultTableStyle="TableStyleMedium2" defaultPivotStyle="PivotStyleLight16">
    <tableStyle name="Invisible" pivot="0" table="0" count="0" xr9:uid="{580D1018-6DA0-4471-BF05-3E103DF2EC40}"/>
  </tableStyles>
  <colors>
    <mruColors>
      <color rgb="FFFF7C80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sili Marcello" id="{9DC2B2FD-C7E5-4F12-9462-41247DF8639A}" userId="S::marcello.masili@ariaspa.it::00acd8f8-40aa-4dc5-a803-d55ba24d9c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4-10-31T14:49:14.98" personId="{9DC2B2FD-C7E5-4F12-9462-41247DF8639A}" id="{A548CBB1-CADB-44A3-B7E5-193D259A46E5}">
    <text>Percentuale del totale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it/RUNCCI-YUN-Connettori-Connettore-Terminale-Montaggio/dp/B0C27KW44Z/ref=sr_1_4?__mk_it_IT=%C3%85M%C3%85%C5%BD%C3%95%C3%91&amp;crid=221O0LCOY0KMY&amp;dib=eyJ2IjoiMSJ9.l3XezpgNtMUcndRDxRxJvXLh9ExjqOnvhqDylEyUK4GODuIKqVPmiptZbeuktn2X3GTEKfGZVprynJDQ9TelIxWAGTNVrZOkkFZsHhOXP9L9ZW92HEX2s85213f_dg3e-rfwL0XXX0BAnTaexegXJEWl13Q7pvOx8PEmC87LGN3VC978oH5gdKDxQxWkOT66KY2z2619fIdoTJX08vA4l2thLb5jLBkSpRjm5sMyLu4bo48My_N1X4cpkNP8p-BkeJzC4qRouAiTkKaUpD7svTFrYL87cU2kcV1xBstUCUY.v2SjRroYui54rMqHILnVfI_NsS07-XsKoEP3QIwPCnw&amp;dib_tag=se&amp;keywords=banana+da+4+mm+femmina&amp;qid=1775122772&amp;s=electronics&amp;sprefix=banana+da+4+mm+femmin%2Celectronics%2C299&amp;sr=1-4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Relationship Id="rId7" Type="http://schemas.openxmlformats.org/officeDocument/2006/relationships/hyperlink" Target="https://www.amazon.it/dp/B00YPOFVM4?tag=cc_amz_it_41_101412-21&amp;linkCode=ogi&amp;th=1&amp;smid=A3JWKAKR8XB7XF" TargetMode="External"/><Relationship Id="rId12" Type="http://schemas.openxmlformats.org/officeDocument/2006/relationships/hyperlink" Target="https://retail.masidef.com/fissaggio/carpenteria-legno/lastrine-e-squadrette/lastrina-ad-angolo-acciaio-inox-a2-aisi-304-dy2006776pa.html" TargetMode="External"/><Relationship Id="rId2" Type="http://schemas.openxmlformats.org/officeDocument/2006/relationships/hyperlink" Target="https://www.amazon.it/dp/B08T65PQL6?ref=ppx_yo2ov_dt_b_fed_asin_title&amp;th=1" TargetMode="External"/><Relationship Id="rId16" Type="http://schemas.microsoft.com/office/2017/10/relationships/threadedComment" Target="../threadedComments/threadedComment1.xml"/><Relationship Id="rId1" Type="http://schemas.openxmlformats.org/officeDocument/2006/relationships/hyperlink" Target="https://products.alfer.com/it/prodotti/angolare-lati-disuguali-21690.html" TargetMode="External"/><Relationship Id="rId6" Type="http://schemas.openxmlformats.org/officeDocument/2006/relationships/hyperlink" Target="https://products.alfer.com/it/prodotti/tubo-quadrato-25170.html" TargetMode="External"/><Relationship Id="rId11" Type="http://schemas.openxmlformats.org/officeDocument/2006/relationships/hyperlink" Target="https://retail.masidef.com/fissaggio/carpenteria-legno/lastrine-e-squadrette/lastrina-ad-angolo-acciaio-inox-a2-aisi-304-dy2006776pa.html" TargetMode="External"/><Relationship Id="rId5" Type="http://schemas.openxmlformats.org/officeDocument/2006/relationships/hyperlink" Target="https://products.alfer.com/it/ferramenta/sistema-combitech-base/sistema-di-profili-alluminio/tubo-rettangolare-alluminio-naturale.html" TargetMode="External"/><Relationship Id="rId15" Type="http://schemas.openxmlformats.org/officeDocument/2006/relationships/comments" Target="../comments1.xml"/><Relationship Id="rId10" Type="http://schemas.openxmlformats.org/officeDocument/2006/relationships/hyperlink" Target="https://shop-diy.hettich.com/de_EN/Hettich/Connecting-technology/Connecting-angles-and-profiles/Connecting-angle-right%2C-16-x-60-x-45-x-1%2C5-mm%2C-steel%2C-galvanised/p/9100630" TargetMode="External"/><Relationship Id="rId4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9" Type="http://schemas.openxmlformats.org/officeDocument/2006/relationships/hyperlink" Target="https://shop-diy.hettich.com/de_EN/Hettich/Connecting-technology/Connecting-angles-and-profiles/Connecting-angle-left%2C-16-x-60-x-45-x-1%2C5-mm%2C-steel%2C-galvanised/p/9100629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mazon.it/RUNCCI-YUN-Connettori-Connettore-Terminale-Montaggio/dp/B0C27KW44Z/ref=sr_1_4?__mk_it_IT=%C3%85M%C3%85%C5%BD%C3%95%C3%91&amp;crid=221O0LCOY0KMY&amp;dib=eyJ2IjoiMSJ9.l3XezpgNtMUcndRDxRxJvXLh9ExjqOnvhqDylEyUK4GODuIKqVPmiptZbeuktn2X3GTEKfGZVprynJDQ9TelIxWAGTNVrZOkkFZsHhOXP9L9ZW92HEX2s85213f_dg3e-rfwL0XXX0BAnTaexegXJEWl13Q7pvOx8PEmC87LGN3VC978oH5gdKDxQxWkOT66KY2z2619fIdoTJX08vA4l2thLb5jLBkSpRjm5sMyLu4bo48My_N1X4cpkNP8p-BkeJzC4qRouAiTkKaUpD7svTFrYL87cU2kcV1xBstUCUY.v2SjRroYui54rMqHILnVfI_NsS07-XsKoEP3QIwPCnw&amp;dib_tag=se&amp;keywords=banana+da+4+mm+femmina&amp;qid=1775122772&amp;s=electronics&amp;sprefix=banana+da+4+mm+femmin%2Celectronics%2C299&amp;sr=1-4" TargetMode="External"/><Relationship Id="rId1" Type="http://schemas.openxmlformats.org/officeDocument/2006/relationships/hyperlink" Target="https://www.amazon.it/dp/B08T65PQL6?ref=ppx_yo2ov_dt_b_fed_asin_title&amp;th=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appo-a-lamelle-quadrato-29830.html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amazon.it/lamelle-quadrato-rettangolari-Plastica-rettangolaro/dp/B0BX4JHXCG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1" Type="http://schemas.openxmlformats.org/officeDocument/2006/relationships/hyperlink" Target="https://www.amazon.it/lamelle-quadrato-rettangolari-Plastica-rettangolaro/dp/B0BX4KQTJF/ref=sr_1_5?__mk_it_IT=%C3%85M%C3%85%C5%BD%C3%95%C3%91&amp;crid=CKHWXIBWI42V&amp;dib=eyJ2IjoiMSJ9.WdLjbHjyfXAlFh312PNpzg24BBJ4uPgbCIuf1AezIW9Jtr-Aq-V1zMHP4J86nlfgYXHNBKvz8rRsH4ZZLJQbu5EyfCoVL5IPlh2oaPpOcO_mNAzgxqNnjygsSB1sW6PJjoG30bo1LqXh3cT6A0zA2DeaY5_bZl3VqnQ0MB7R7UO1JIQSlK_sbRw522OdEUhGPcgTcLPj08A1fDUt2uaEc1AdkqRtvWBeo-NuacrQArVFaP01qd7HZCHfKuzm5R10z1HuMnFW1Fq_oINbCEmx7cSybfZmctQDHrMYxJC9Dts.LUiyVcYpTqUgRsUjrRsCxp9cTYhUvIN8glwx59wCiYg&amp;dib_tag=se&amp;keywords=tappo%2Blamellare%2Brettangolare&amp;qid=1774880550&amp;refinements=p_n_g-1003332242111%3A28272432031&amp;rnid=28272400031&amp;sprefix=tappi%2Blamellari%2Brettangolari%2Caps%2C344&amp;sr=8-5&amp;th=1" TargetMode="External"/><Relationship Id="rId6" Type="http://schemas.openxmlformats.org/officeDocument/2006/relationships/hyperlink" Target="https://products.alfer.com/it/prodotti/angolare-lati-disuguali-21690.html" TargetMode="External"/><Relationship Id="rId5" Type="http://schemas.openxmlformats.org/officeDocument/2006/relationships/hyperlink" Target="https://products.alfer.com/it/prodotti/barra-piatta-21854.html" TargetMode="External"/><Relationship Id="rId4" Type="http://schemas.openxmlformats.org/officeDocument/2006/relationships/hyperlink" Target="https://www.amazon.it/Lamelle-Quadrato-Plastica-Alluminio-Quadrati/dp/B0BX4KLFTV/ref=sr_1_1_sspa?dib=eyJ2IjoiMSJ9.MYm_5uZhwLuAyJUd-wGexlB_0JMfl34inx3sdJE4WW8ZZWiSeP0eZU4lqTlCdkuPeWaV8__uSga0Ta-bZ9rhqW3e5rfbF8n0n9FsecSJ4dZ3a5uo7bq8-ywDz-smoqgzHShVlvnae1xjjiyqHOYWBXIe4heZNdBegR5KS-Sh4mOBHURHeqr-6FtI1oAVoE8KgXZKfra25R1NI8QKRR2HChLjgewZxIIN5GMtGt7LvpEW6-2refsI0jRurTy7ZAwKGgMY9O6KsuFd9LpQWMlLZna5hBEE7vlKuQs_HN87aZw.6coMjHCcCXIBKoTH67JtFxeLGLIciobsmeR0LY4aLqo&amp;dib_tag=se&amp;keywords=tappo%2B25x25&amp;qid=1775047055&amp;sr=8-1-spons&amp;aref=BwYLb3qGgH&amp;sp_csd=d2lkZ2V0TmFtZT1zcF9hdGY&amp;th=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-diy.hettich.com/de_EN/Hettich/Connecting-technology/Connecting-angles-and-profiles/Connecting-angle-right%2C-16-x-60-x-45-x-1%2C5-mm%2C-steel%2C-galvanised/p/9100630" TargetMode="External"/><Relationship Id="rId2" Type="http://schemas.openxmlformats.org/officeDocument/2006/relationships/hyperlink" Target="https://shop-diy.hettich.com/de_EN/Hettich/Connecting-technology/Connecting-angles-and-profiles/Connecting-angle-left%2C-16-x-60-x-45-x-1%2C5-mm%2C-steel%2C-galvanised/p/9100629" TargetMode="External"/><Relationship Id="rId1" Type="http://schemas.openxmlformats.org/officeDocument/2006/relationships/hyperlink" Target="https://www.amazon.it/dp/B00YPOFVM4?tag=cc_amz_it_41_101412-21&amp;linkCode=ogi&amp;th=1&amp;smid=A3JWKAKR8XB7XF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retail.masidef.com/fissaggio/carpenteria-legno/lastrine-e-squadrette/lastrina-ad-angolo-acciaio-inox-a2-aisi-304-dy2006776pa.html" TargetMode="External"/><Relationship Id="rId4" Type="http://schemas.openxmlformats.org/officeDocument/2006/relationships/hyperlink" Target="https://retail.masidef.com/fissaggio/carpenteria-legno/lastrine-e-squadrette/lastrina-ad-angolo-acciaio-inox-a2-aisi-304-dy2006776pa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s.alfer.com/it/prodotti/tubo-quadrato-25171.html" TargetMode="External"/><Relationship Id="rId2" Type="http://schemas.openxmlformats.org/officeDocument/2006/relationships/hyperlink" Target="https://products.alfer.com/it/prodotti/tubo-quadrato-25170.html" TargetMode="External"/><Relationship Id="rId1" Type="http://schemas.openxmlformats.org/officeDocument/2006/relationships/hyperlink" Target="https://products.alfer.com/it/ferramenta/sistema-combitech-base/sistema-di-profili-alluminio/tubo-rettangolare-alluminio-naturale.html" TargetMode="External"/><Relationship Id="rId4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B3E0-229C-4098-A500-F299FDE87A72}">
  <sheetPr>
    <tabColor rgb="FFFF0000"/>
  </sheetPr>
  <dimension ref="B1:H18"/>
  <sheetViews>
    <sheetView showGridLines="0" showRowColHeaders="0" tabSelected="1" zoomScaleNormal="100" workbookViewId="0">
      <pane ySplit="5" topLeftCell="A6" activePane="bottomLeft" state="frozenSplit"/>
      <selection pane="bottomLeft" activeCell="C20" sqref="C20"/>
    </sheetView>
  </sheetViews>
  <sheetFormatPr defaultColWidth="3.5546875" defaultRowHeight="14.4" x14ac:dyDescent="0.3"/>
  <cols>
    <col min="1" max="1" width="3.5546875" customWidth="1"/>
    <col min="2" max="2" width="24.33203125" bestFit="1" customWidth="1"/>
    <col min="3" max="3" width="20.5546875" customWidth="1"/>
    <col min="4" max="4" width="26.109375" bestFit="1" customWidth="1"/>
    <col min="5" max="5" width="39" bestFit="1" customWidth="1"/>
    <col min="6" max="6" width="14.109375" bestFit="1" customWidth="1"/>
    <col min="7" max="7" width="12" bestFit="1" customWidth="1"/>
    <col min="8" max="8" width="50.6640625" bestFit="1" customWidth="1"/>
  </cols>
  <sheetData>
    <row r="1" spans="2:8" ht="15" thickBot="1" x14ac:dyDescent="0.35"/>
    <row r="2" spans="2:8" ht="24.6" thickTop="1" thickBot="1" x14ac:dyDescent="0.5">
      <c r="C2" s="1" t="s">
        <v>36</v>
      </c>
      <c r="E2" s="1"/>
      <c r="F2" s="2" t="s">
        <v>13</v>
      </c>
      <c r="G2" s="58">
        <f xml:space="preserve"> SUM( G6:G17 )</f>
        <v>75.256599999999978</v>
      </c>
    </row>
    <row r="3" spans="2:8" ht="15" thickTop="1" x14ac:dyDescent="0.3"/>
    <row r="4" spans="2:8" ht="15" thickBot="1" x14ac:dyDescent="0.35"/>
    <row r="5" spans="2:8" ht="19.2" thickTop="1" thickBot="1" x14ac:dyDescent="0.35">
      <c r="B5" s="3" t="s">
        <v>0</v>
      </c>
      <c r="C5" s="3" t="s">
        <v>6</v>
      </c>
      <c r="D5" s="3" t="s">
        <v>7</v>
      </c>
      <c r="E5" s="3" t="s">
        <v>91</v>
      </c>
      <c r="F5" s="3" t="s">
        <v>11</v>
      </c>
      <c r="G5" s="3" t="s">
        <v>2</v>
      </c>
      <c r="H5" s="3" t="s">
        <v>5</v>
      </c>
    </row>
    <row r="6" spans="2:8" ht="15" thickTop="1" x14ac:dyDescent="0.3">
      <c r="B6" s="49" t="s">
        <v>35</v>
      </c>
      <c r="C6" s="11" t="s">
        <v>18</v>
      </c>
      <c r="D6" s="50">
        <v>21690</v>
      </c>
      <c r="E6" s="11" t="s">
        <v>73</v>
      </c>
      <c r="F6" s="12">
        <v>1</v>
      </c>
      <c r="G6" s="56">
        <f xml:space="preserve"> F6 * 'Materiale plastico'!G3</f>
        <v>4.2</v>
      </c>
      <c r="H6" s="13" t="s">
        <v>44</v>
      </c>
    </row>
    <row r="7" spans="2:8" x14ac:dyDescent="0.3">
      <c r="B7" s="49" t="s">
        <v>70</v>
      </c>
      <c r="C7" s="81" t="s">
        <v>68</v>
      </c>
      <c r="D7" s="81" t="s">
        <v>71</v>
      </c>
      <c r="E7" s="81" t="s">
        <v>72</v>
      </c>
      <c r="F7" s="82">
        <v>2</v>
      </c>
      <c r="G7" s="83">
        <f xml:space="preserve"> F7 * 'Materiale elettrico'!F3</f>
        <v>0.73199999999999998</v>
      </c>
      <c r="H7" s="84" t="s">
        <v>44</v>
      </c>
    </row>
    <row r="8" spans="2:8" ht="15" thickBot="1" x14ac:dyDescent="0.35">
      <c r="B8" s="51" t="s">
        <v>21</v>
      </c>
      <c r="C8" s="14" t="s">
        <v>22</v>
      </c>
      <c r="D8" s="14" t="s">
        <v>24</v>
      </c>
      <c r="E8" s="14" t="s">
        <v>33</v>
      </c>
      <c r="F8" s="15">
        <f xml:space="preserve"> (100 * 22) / 300</f>
        <v>7.333333333333333</v>
      </c>
      <c r="G8" s="57">
        <f xml:space="preserve"> (F8 / 100) * 'Materiale elettrico'!F4</f>
        <v>1.1726000000000001</v>
      </c>
      <c r="H8" s="16" t="s">
        <v>44</v>
      </c>
    </row>
    <row r="9" spans="2:8" x14ac:dyDescent="0.3">
      <c r="B9" s="49" t="s">
        <v>54</v>
      </c>
      <c r="C9" s="4" t="s">
        <v>41</v>
      </c>
      <c r="D9" s="59" t="s">
        <v>16</v>
      </c>
      <c r="E9" s="4" t="s">
        <v>20</v>
      </c>
      <c r="F9" s="5">
        <v>2</v>
      </c>
      <c r="G9" s="56">
        <f xml:space="preserve"> F9 * 'Materiale plastico'!G5</f>
        <v>4.4950000000000001</v>
      </c>
      <c r="H9" s="6" t="s">
        <v>43</v>
      </c>
    </row>
    <row r="10" spans="2:8" x14ac:dyDescent="0.3">
      <c r="B10" s="49" t="s">
        <v>50</v>
      </c>
      <c r="C10" s="4" t="s">
        <v>41</v>
      </c>
      <c r="D10" s="59" t="s">
        <v>16</v>
      </c>
      <c r="E10" s="4" t="s">
        <v>74</v>
      </c>
      <c r="F10" s="5">
        <v>4</v>
      </c>
      <c r="G10" s="56">
        <f xml:space="preserve"> F10 * 'Materiale plastico'!G6</f>
        <v>8.99</v>
      </c>
      <c r="H10" s="6" t="s">
        <v>43</v>
      </c>
    </row>
    <row r="11" spans="2:8" x14ac:dyDescent="0.3">
      <c r="B11" s="49" t="s">
        <v>14</v>
      </c>
      <c r="C11" s="4" t="s">
        <v>18</v>
      </c>
      <c r="D11" s="4">
        <v>25170</v>
      </c>
      <c r="E11" s="4" t="s">
        <v>48</v>
      </c>
      <c r="F11" s="5">
        <v>3</v>
      </c>
      <c r="G11" s="56">
        <f xml:space="preserve"> F11 * 'Scatolati in alluminio'!G6</f>
        <v>29.849999999999998</v>
      </c>
      <c r="H11" s="6" t="s">
        <v>43</v>
      </c>
    </row>
    <row r="12" spans="2:8" x14ac:dyDescent="0.3">
      <c r="B12" s="49" t="s">
        <v>15</v>
      </c>
      <c r="C12" s="4" t="s">
        <v>18</v>
      </c>
      <c r="D12" s="4">
        <v>25326</v>
      </c>
      <c r="E12" s="4" t="s">
        <v>49</v>
      </c>
      <c r="F12" s="5">
        <v>1</v>
      </c>
      <c r="G12" s="56">
        <f xml:space="preserve"> F12 * 'Scatolati in alluminio'!G4</f>
        <v>9.25</v>
      </c>
      <c r="H12" s="6" t="s">
        <v>43</v>
      </c>
    </row>
    <row r="13" spans="2:8" x14ac:dyDescent="0.3">
      <c r="B13" s="49" t="s">
        <v>28</v>
      </c>
      <c r="C13" s="4" t="s">
        <v>30</v>
      </c>
      <c r="D13" s="4" t="s">
        <v>29</v>
      </c>
      <c r="E13" s="4" t="s">
        <v>67</v>
      </c>
      <c r="F13" s="5">
        <v>60</v>
      </c>
      <c r="G13" s="56">
        <f xml:space="preserve"> F13 * Ferramenta!G8</f>
        <v>7.6920000000000002</v>
      </c>
      <c r="H13" s="6" t="s">
        <v>43</v>
      </c>
    </row>
    <row r="14" spans="2:8" x14ac:dyDescent="0.3">
      <c r="B14" s="49" t="s">
        <v>80</v>
      </c>
      <c r="C14" s="4" t="s">
        <v>77</v>
      </c>
      <c r="D14" s="4">
        <v>9100629</v>
      </c>
      <c r="E14" s="4" t="s">
        <v>89</v>
      </c>
      <c r="F14" s="5">
        <v>1</v>
      </c>
      <c r="G14" s="56">
        <f xml:space="preserve"> F14 * Ferramenta!G4</f>
        <v>1.1000000000000001</v>
      </c>
      <c r="H14" s="6" t="s">
        <v>43</v>
      </c>
    </row>
    <row r="15" spans="2:8" x14ac:dyDescent="0.3">
      <c r="B15" s="49" t="s">
        <v>81</v>
      </c>
      <c r="C15" s="4" t="s">
        <v>77</v>
      </c>
      <c r="D15" s="4">
        <v>9100630</v>
      </c>
      <c r="E15" s="4" t="s">
        <v>89</v>
      </c>
      <c r="F15" s="5">
        <v>1</v>
      </c>
      <c r="G15" s="56">
        <f xml:space="preserve"> F15 * Ferramenta!G3</f>
        <v>1.1000000000000001</v>
      </c>
      <c r="H15" s="6" t="s">
        <v>43</v>
      </c>
    </row>
    <row r="16" spans="2:8" x14ac:dyDescent="0.3">
      <c r="B16" s="49" t="s">
        <v>94</v>
      </c>
      <c r="C16" s="4" t="s">
        <v>85</v>
      </c>
      <c r="D16" s="4" t="s">
        <v>93</v>
      </c>
      <c r="E16" s="89" t="s">
        <v>88</v>
      </c>
      <c r="F16" s="90">
        <v>4</v>
      </c>
      <c r="G16" s="83">
        <f xml:space="preserve"> F16 * Ferramenta!G6</f>
        <v>2.25</v>
      </c>
      <c r="H16" s="91" t="s">
        <v>43</v>
      </c>
    </row>
    <row r="17" spans="2:8" ht="15" thickBot="1" x14ac:dyDescent="0.35">
      <c r="B17" s="92" t="s">
        <v>95</v>
      </c>
      <c r="C17" s="7" t="s">
        <v>85</v>
      </c>
      <c r="D17" s="7" t="s">
        <v>96</v>
      </c>
      <c r="E17" s="7" t="s">
        <v>90</v>
      </c>
      <c r="F17" s="8">
        <v>6</v>
      </c>
      <c r="G17" s="67">
        <f xml:space="preserve"> F17 * Ferramenta!G5</f>
        <v>4.4250000000000007</v>
      </c>
      <c r="H17" s="9" t="s">
        <v>43</v>
      </c>
    </row>
    <row r="18" spans="2:8" ht="15" thickTop="1" x14ac:dyDescent="0.3"/>
  </sheetData>
  <hyperlinks>
    <hyperlink ref="B6" r:id="rId1" xr:uid="{116C45D7-173F-4EC9-B192-C1FA585F59C3}"/>
    <hyperlink ref="B8" r:id="rId2" xr:uid="{1A70E09A-167E-4C9F-9F90-B20932A61F06}"/>
    <hyperlink ref="B9" r:id="rId3" xr:uid="{B5598FD8-4C3F-4C99-A5F8-C821B17C83C5}"/>
    <hyperlink ref="B10" r:id="rId4" xr:uid="{A5119098-79F0-4A5A-A0A6-747DA98737A4}"/>
    <hyperlink ref="B12" r:id="rId5" xr:uid="{266BC76A-EFB5-47F6-9DC9-986E489A702E}"/>
    <hyperlink ref="B11" r:id="rId6" xr:uid="{C279A041-0827-4487-ACC2-73B759AFFDC4}"/>
    <hyperlink ref="B13" r:id="rId7" xr:uid="{B89F72D3-AD5B-4B62-91E6-3537B7C60922}"/>
    <hyperlink ref="B7" r:id="rId8" xr:uid="{BA108BF4-2C54-45FA-A6B7-792BF5427762}"/>
    <hyperlink ref="B14" r:id="rId9" xr:uid="{C3188214-D27F-4129-BD4B-9F3129CD0CBA}"/>
    <hyperlink ref="B15" r:id="rId10" xr:uid="{A2EF5679-7E89-45B8-8BA4-6CABA9CCD125}"/>
    <hyperlink ref="B16" r:id="rId11" xr:uid="{ED506DBC-340E-4151-944A-1A567EA8961A}"/>
    <hyperlink ref="B17" r:id="rId12" xr:uid="{DA0C1F28-194E-4C2A-824D-239447A63408}"/>
  </hyperlinks>
  <pageMargins left="0.7" right="0.7" top="0.75" bottom="0.75" header="0.3" footer="0.3"/>
  <pageSetup paperSize="9" orientation="portrait" r:id="rId13"/>
  <legacy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846C5-D63F-4134-919D-7D7B689FA66B}">
  <sheetPr>
    <tabColor theme="9" tint="-0.249977111117893"/>
  </sheetPr>
  <dimension ref="A1:L5"/>
  <sheetViews>
    <sheetView showGridLines="0" showRowColHeaders="0" workbookViewId="0">
      <pane ySplit="2" topLeftCell="A3" activePane="bottomLeft" state="frozenSplit"/>
      <selection pane="bottomLeft" activeCell="B6" sqref="B6"/>
    </sheetView>
  </sheetViews>
  <sheetFormatPr defaultRowHeight="14.4" x14ac:dyDescent="0.3"/>
  <cols>
    <col min="1" max="1" width="2.5546875" bestFit="1" customWidth="1"/>
    <col min="2" max="2" width="10.5546875" bestFit="1" customWidth="1"/>
    <col min="3" max="3" width="11.88671875" bestFit="1" customWidth="1"/>
    <col min="4" max="4" width="26.109375" bestFit="1" customWidth="1"/>
    <col min="5" max="5" width="51.5546875" bestFit="1" customWidth="1"/>
    <col min="6" max="6" width="23.88671875" bestFit="1" customWidth="1"/>
    <col min="7" max="7" width="37.6640625" bestFit="1" customWidth="1"/>
    <col min="8" max="8" width="23.77734375" bestFit="1" customWidth="1"/>
    <col min="9" max="9" width="38.33203125" bestFit="1" customWidth="1"/>
    <col min="10" max="10" width="12.21875" bestFit="1" customWidth="1"/>
    <col min="11" max="11" width="26.6640625" bestFit="1" customWidth="1"/>
    <col min="12" max="12" width="8" bestFit="1" customWidth="1"/>
  </cols>
  <sheetData>
    <row r="1" spans="1:12" ht="15" thickBot="1" x14ac:dyDescent="0.35"/>
    <row r="2" spans="1:12" ht="19.2" thickTop="1" thickBot="1" x14ac:dyDescent="0.35">
      <c r="B2" s="10" t="s">
        <v>0</v>
      </c>
      <c r="C2" s="10" t="s">
        <v>6</v>
      </c>
      <c r="D2" s="10" t="s">
        <v>7</v>
      </c>
      <c r="E2" s="10" t="s">
        <v>5</v>
      </c>
      <c r="F2" s="10" t="s">
        <v>45</v>
      </c>
      <c r="G2" s="10" t="s">
        <v>42</v>
      </c>
      <c r="H2" s="10" t="s">
        <v>46</v>
      </c>
      <c r="I2" s="10" t="s">
        <v>47</v>
      </c>
      <c r="J2" s="10" t="s">
        <v>3</v>
      </c>
      <c r="K2" s="10" t="s">
        <v>9</v>
      </c>
      <c r="L2" s="10" t="s">
        <v>4</v>
      </c>
    </row>
    <row r="3" spans="1:12" ht="15" thickTop="1" x14ac:dyDescent="0.3">
      <c r="A3" t="s">
        <v>10</v>
      </c>
      <c r="B3" s="75" t="s">
        <v>70</v>
      </c>
      <c r="C3" s="76" t="s">
        <v>68</v>
      </c>
      <c r="D3" s="76" t="s">
        <v>71</v>
      </c>
      <c r="E3" s="76" t="s">
        <v>69</v>
      </c>
      <c r="F3" s="77">
        <f xml:space="preserve"> (H3 + I3) / G3</f>
        <v>0.36599999999999999</v>
      </c>
      <c r="G3" s="78">
        <v>30</v>
      </c>
      <c r="H3" s="77">
        <v>10.98</v>
      </c>
      <c r="I3" s="77">
        <v>0</v>
      </c>
      <c r="J3" s="76" t="s">
        <v>8</v>
      </c>
      <c r="K3" s="79">
        <v>46114</v>
      </c>
      <c r="L3" s="80"/>
    </row>
    <row r="4" spans="1:12" ht="15" thickBot="1" x14ac:dyDescent="0.35">
      <c r="A4" t="s">
        <v>10</v>
      </c>
      <c r="B4" s="69" t="s">
        <v>21</v>
      </c>
      <c r="C4" s="70" t="s">
        <v>22</v>
      </c>
      <c r="D4" s="70" t="s">
        <v>24</v>
      </c>
      <c r="E4" s="70" t="s">
        <v>23</v>
      </c>
      <c r="F4" s="71">
        <f xml:space="preserve"> (H4 + I4) / G4</f>
        <v>15.99</v>
      </c>
      <c r="G4" s="72">
        <v>1</v>
      </c>
      <c r="H4" s="71">
        <v>15.99</v>
      </c>
      <c r="I4" s="71">
        <v>0</v>
      </c>
      <c r="J4" s="70" t="s">
        <v>8</v>
      </c>
      <c r="K4" s="73">
        <v>46113</v>
      </c>
      <c r="L4" s="74"/>
    </row>
    <row r="5" spans="1:12" ht="15" thickTop="1" x14ac:dyDescent="0.3"/>
  </sheetData>
  <hyperlinks>
    <hyperlink ref="B4" r:id="rId1" xr:uid="{D5D85210-D258-42FC-8784-D738E5B32BE1}"/>
    <hyperlink ref="B3" r:id="rId2" xr:uid="{1591671C-BCB0-444B-9D33-B98529041B0C}"/>
  </hyperlinks>
  <pageMargins left="0.7" right="0.7" top="0.75" bottom="0.75" header="0.3" footer="0.3"/>
  <pageSetup paperSize="9" orientation="portrait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36208-8492-4D47-8F0A-3E9CEB072BD5}">
  <sheetPr>
    <tabColor rgb="FFFFC000"/>
  </sheetPr>
  <dimension ref="A1:M9"/>
  <sheetViews>
    <sheetView showGridLines="0" showRowColHeaders="0" workbookViewId="0">
      <pane ySplit="2" topLeftCell="A3" activePane="bottomLeft" state="frozenSplit"/>
      <selection pane="bottomLeft" activeCell="B10" sqref="B10"/>
    </sheetView>
  </sheetViews>
  <sheetFormatPr defaultColWidth="3.77734375" defaultRowHeight="14.4" x14ac:dyDescent="0.3"/>
  <cols>
    <col min="1" max="1" width="2.5546875" bestFit="1" customWidth="1"/>
    <col min="2" max="2" width="21.44140625" bestFit="1" customWidth="1"/>
    <col min="3" max="3" width="15.44140625" bestFit="1" customWidth="1"/>
    <col min="4" max="4" width="13.21875" bestFit="1" customWidth="1"/>
    <col min="5" max="5" width="16.5546875" bestFit="1" customWidth="1"/>
    <col min="6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99.109375" bestFit="1" customWidth="1"/>
  </cols>
  <sheetData>
    <row r="1" spans="1:13" ht="15" thickBot="1" x14ac:dyDescent="0.35"/>
    <row r="2" spans="1:13" ht="19.2" thickTop="1" thickBot="1" x14ac:dyDescent="0.35">
      <c r="B2" s="29" t="s">
        <v>0</v>
      </c>
      <c r="C2" s="30" t="s">
        <v>6</v>
      </c>
      <c r="D2" s="30" t="s">
        <v>7</v>
      </c>
      <c r="E2" s="30" t="s">
        <v>25</v>
      </c>
      <c r="F2" s="30" t="s">
        <v>1</v>
      </c>
      <c r="G2" s="30" t="s">
        <v>45</v>
      </c>
      <c r="H2" s="30" t="s">
        <v>42</v>
      </c>
      <c r="I2" s="30" t="s">
        <v>46</v>
      </c>
      <c r="J2" s="30" t="s">
        <v>47</v>
      </c>
      <c r="K2" s="30" t="s">
        <v>3</v>
      </c>
      <c r="L2" s="30" t="s">
        <v>9</v>
      </c>
      <c r="M2" s="31" t="s">
        <v>4</v>
      </c>
    </row>
    <row r="3" spans="1:13" ht="15" thickTop="1" x14ac:dyDescent="0.3">
      <c r="A3" t="s">
        <v>10</v>
      </c>
      <c r="B3" s="40" t="s">
        <v>35</v>
      </c>
      <c r="C3" s="25" t="s">
        <v>18</v>
      </c>
      <c r="D3" s="26">
        <v>21690</v>
      </c>
      <c r="E3" s="25" t="s">
        <v>34</v>
      </c>
      <c r="F3" s="25" t="s">
        <v>60</v>
      </c>
      <c r="G3" s="52">
        <f t="shared" ref="G3:G7" si="0" xml:space="preserve"> (I3 + J3) / H3</f>
        <v>4.2</v>
      </c>
      <c r="H3" s="61">
        <v>1</v>
      </c>
      <c r="I3" s="55">
        <v>4.2</v>
      </c>
      <c r="J3" s="55">
        <v>0</v>
      </c>
      <c r="K3" s="25" t="s">
        <v>17</v>
      </c>
      <c r="L3" s="27">
        <v>45584</v>
      </c>
      <c r="M3" s="28" t="s">
        <v>62</v>
      </c>
    </row>
    <row r="4" spans="1:13" x14ac:dyDescent="0.3">
      <c r="B4" s="40" t="s">
        <v>57</v>
      </c>
      <c r="C4" s="25" t="s">
        <v>18</v>
      </c>
      <c r="D4" s="26" t="s">
        <v>58</v>
      </c>
      <c r="E4" s="25" t="s">
        <v>34</v>
      </c>
      <c r="F4" s="25" t="s">
        <v>59</v>
      </c>
      <c r="G4" s="53">
        <f t="shared" si="0"/>
        <v>0</v>
      </c>
      <c r="H4" s="61">
        <v>1</v>
      </c>
      <c r="I4" s="55"/>
      <c r="J4" s="55">
        <v>0</v>
      </c>
      <c r="K4" s="25" t="s">
        <v>17</v>
      </c>
      <c r="L4" s="27"/>
      <c r="M4" s="28" t="s">
        <v>61</v>
      </c>
    </row>
    <row r="5" spans="1:13" x14ac:dyDescent="0.3">
      <c r="A5" t="s">
        <v>10</v>
      </c>
      <c r="B5" s="40" t="s">
        <v>54</v>
      </c>
      <c r="C5" s="17" t="s">
        <v>41</v>
      </c>
      <c r="D5" s="18" t="s">
        <v>16</v>
      </c>
      <c r="E5" s="17" t="s">
        <v>19</v>
      </c>
      <c r="F5" s="17" t="s">
        <v>55</v>
      </c>
      <c r="G5" s="53">
        <f t="shared" si="0"/>
        <v>2.2475000000000001</v>
      </c>
      <c r="H5" s="62">
        <v>4</v>
      </c>
      <c r="I5" s="53">
        <v>8.99</v>
      </c>
      <c r="J5" s="53">
        <v>0</v>
      </c>
      <c r="K5" s="17" t="s">
        <v>8</v>
      </c>
      <c r="L5" s="19">
        <v>46113</v>
      </c>
      <c r="M5" s="20" t="s">
        <v>76</v>
      </c>
    </row>
    <row r="6" spans="1:13" x14ac:dyDescent="0.3">
      <c r="A6" t="s">
        <v>10</v>
      </c>
      <c r="B6" s="40" t="s">
        <v>50</v>
      </c>
      <c r="C6" s="17" t="s">
        <v>41</v>
      </c>
      <c r="D6" s="18" t="s">
        <v>16</v>
      </c>
      <c r="E6" s="17" t="s">
        <v>19</v>
      </c>
      <c r="F6" s="17" t="s">
        <v>51</v>
      </c>
      <c r="G6" s="53">
        <f t="shared" si="0"/>
        <v>2.2475000000000001</v>
      </c>
      <c r="H6" s="62">
        <v>4</v>
      </c>
      <c r="I6" s="53">
        <v>8.99</v>
      </c>
      <c r="J6" s="53">
        <v>0</v>
      </c>
      <c r="K6" s="17" t="s">
        <v>8</v>
      </c>
      <c r="L6" s="19">
        <v>46113</v>
      </c>
      <c r="M6" s="20" t="s">
        <v>75</v>
      </c>
    </row>
    <row r="7" spans="1:13" x14ac:dyDescent="0.3">
      <c r="B7" s="40" t="s">
        <v>37</v>
      </c>
      <c r="C7" s="17" t="s">
        <v>18</v>
      </c>
      <c r="D7" s="18" t="s">
        <v>38</v>
      </c>
      <c r="E7" s="17" t="s">
        <v>19</v>
      </c>
      <c r="F7" s="17" t="s">
        <v>53</v>
      </c>
      <c r="G7" s="53">
        <f t="shared" si="0"/>
        <v>0</v>
      </c>
      <c r="H7" s="62">
        <v>2</v>
      </c>
      <c r="I7" s="53"/>
      <c r="J7" s="53">
        <v>0</v>
      </c>
      <c r="K7" s="17" t="s">
        <v>39</v>
      </c>
      <c r="L7" s="19">
        <v>46111</v>
      </c>
      <c r="M7" s="20" t="s">
        <v>75</v>
      </c>
    </row>
    <row r="8" spans="1:13" ht="15" thickBot="1" x14ac:dyDescent="0.35">
      <c r="B8" s="41" t="s">
        <v>40</v>
      </c>
      <c r="C8" s="21" t="s">
        <v>41</v>
      </c>
      <c r="D8" s="22" t="s">
        <v>16</v>
      </c>
      <c r="E8" s="21" t="s">
        <v>19</v>
      </c>
      <c r="F8" s="21" t="s">
        <v>52</v>
      </c>
      <c r="G8" s="54">
        <f xml:space="preserve"> (I8 + J8) / H8</f>
        <v>2.2475000000000001</v>
      </c>
      <c r="H8" s="63">
        <v>4</v>
      </c>
      <c r="I8" s="54">
        <v>8.99</v>
      </c>
      <c r="J8" s="54">
        <v>0</v>
      </c>
      <c r="K8" s="21" t="s">
        <v>8</v>
      </c>
      <c r="L8" s="23">
        <v>46113</v>
      </c>
      <c r="M8" s="24" t="s">
        <v>76</v>
      </c>
    </row>
    <row r="9" spans="1:13" ht="15" thickTop="1" x14ac:dyDescent="0.3"/>
  </sheetData>
  <hyperlinks>
    <hyperlink ref="B8" r:id="rId1" xr:uid="{AF07C485-869D-4C14-B470-CD9D8818BFA8}"/>
    <hyperlink ref="B6" r:id="rId2" xr:uid="{6017B9E9-DC5B-4022-9D02-AADFBFD96A40}"/>
    <hyperlink ref="B7" r:id="rId3" xr:uid="{AA9F4B9E-6441-4F18-8C91-3F0A37F57E37}"/>
    <hyperlink ref="B5" r:id="rId4" xr:uid="{967E1163-2DC6-4289-9585-4DEE78B4CD22}"/>
    <hyperlink ref="B4" r:id="rId5" xr:uid="{07998D7A-2E84-4DC2-951A-73A9FC2C60B0}"/>
    <hyperlink ref="B3" r:id="rId6" xr:uid="{469BD8B5-A00F-4F9B-B610-EF53F14076B5}"/>
  </hyperlinks>
  <pageMargins left="0.7" right="0.7" top="0.75" bottom="0.75" header="0.3" footer="0.3"/>
  <pageSetup paperSize="9" orientation="portrait" r:id="rId7"/>
  <ignoredErrors>
    <ignoredError sqref="D7 D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CBBE-08BA-4C63-96AD-448A3EB798E6}">
  <sheetPr>
    <tabColor theme="0" tint="-0.249977111117893"/>
  </sheetPr>
  <dimension ref="A1:M9"/>
  <sheetViews>
    <sheetView showGridLines="0" showRowColHeaders="0" workbookViewId="0">
      <pane ySplit="2" topLeftCell="A3" activePane="bottomLeft" state="frozenSplit"/>
      <selection pane="bottomLeft" activeCell="B10" sqref="B10"/>
    </sheetView>
  </sheetViews>
  <sheetFormatPr defaultRowHeight="14.4" x14ac:dyDescent="0.3"/>
  <cols>
    <col min="1" max="1" width="2.5546875" bestFit="1" customWidth="1"/>
    <col min="2" max="2" width="19.6640625" bestFit="1" customWidth="1"/>
    <col min="3" max="3" width="15.44140625" bestFit="1" customWidth="1"/>
    <col min="4" max="4" width="22.88671875" bestFit="1" customWidth="1"/>
    <col min="5" max="5" width="49.88671875" bestFit="1" customWidth="1"/>
    <col min="6" max="6" width="26" bestFit="1" customWidth="1"/>
    <col min="7" max="7" width="23.88671875" bestFit="1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77734375" bestFit="1" customWidth="1"/>
    <col min="12" max="12" width="26.6640625" bestFit="1" customWidth="1"/>
    <col min="13" max="13" width="41.21875" bestFit="1" customWidth="1"/>
  </cols>
  <sheetData>
    <row r="1" spans="1:13" ht="15" thickBot="1" x14ac:dyDescent="0.35"/>
    <row r="2" spans="1:13" ht="19.2" thickTop="1" thickBot="1" x14ac:dyDescent="0.35">
      <c r="B2" s="36" t="s">
        <v>0</v>
      </c>
      <c r="C2" s="37" t="s">
        <v>6</v>
      </c>
      <c r="D2" s="37" t="s">
        <v>7</v>
      </c>
      <c r="E2" s="37" t="s">
        <v>25</v>
      </c>
      <c r="F2" s="37" t="s">
        <v>1</v>
      </c>
      <c r="G2" s="37" t="s">
        <v>45</v>
      </c>
      <c r="H2" s="37" t="s">
        <v>42</v>
      </c>
      <c r="I2" s="37" t="s">
        <v>46</v>
      </c>
      <c r="J2" s="37" t="s">
        <v>47</v>
      </c>
      <c r="K2" s="37" t="s">
        <v>3</v>
      </c>
      <c r="L2" s="37" t="s">
        <v>9</v>
      </c>
      <c r="M2" s="38" t="s">
        <v>91</v>
      </c>
    </row>
    <row r="3" spans="1:13" ht="15" thickTop="1" x14ac:dyDescent="0.3">
      <c r="A3" t="s">
        <v>10</v>
      </c>
      <c r="B3" s="88" t="s">
        <v>81</v>
      </c>
      <c r="C3" s="34" t="s">
        <v>77</v>
      </c>
      <c r="D3" s="34">
        <v>9100630</v>
      </c>
      <c r="E3" s="34" t="s">
        <v>83</v>
      </c>
      <c r="F3" s="34" t="s">
        <v>82</v>
      </c>
      <c r="G3" s="64">
        <f xml:space="preserve"> I3 / H3</f>
        <v>1.1000000000000001</v>
      </c>
      <c r="H3" s="43">
        <v>1</v>
      </c>
      <c r="I3" s="64">
        <v>1.1000000000000001</v>
      </c>
      <c r="J3" s="64">
        <v>0</v>
      </c>
      <c r="K3" s="35" t="s">
        <v>84</v>
      </c>
      <c r="L3" s="45">
        <v>45964</v>
      </c>
      <c r="M3" s="46" t="s">
        <v>79</v>
      </c>
    </row>
    <row r="4" spans="1:13" x14ac:dyDescent="0.3">
      <c r="A4" t="s">
        <v>10</v>
      </c>
      <c r="B4" s="88" t="s">
        <v>80</v>
      </c>
      <c r="C4" s="34" t="s">
        <v>77</v>
      </c>
      <c r="D4" s="34">
        <v>9100629</v>
      </c>
      <c r="E4" s="34" t="s">
        <v>83</v>
      </c>
      <c r="F4" s="34" t="s">
        <v>82</v>
      </c>
      <c r="G4" s="64">
        <f xml:space="preserve"> I4 / H4</f>
        <v>1.1000000000000001</v>
      </c>
      <c r="H4" s="43">
        <v>1</v>
      </c>
      <c r="I4" s="64">
        <v>1.1000000000000001</v>
      </c>
      <c r="J4" s="64">
        <v>0</v>
      </c>
      <c r="K4" s="35" t="s">
        <v>84</v>
      </c>
      <c r="L4" s="86">
        <v>45964</v>
      </c>
      <c r="M4" s="87" t="s">
        <v>78</v>
      </c>
    </row>
    <row r="5" spans="1:13" x14ac:dyDescent="0.3">
      <c r="A5" t="s">
        <v>10</v>
      </c>
      <c r="B5" s="88" t="s">
        <v>95</v>
      </c>
      <c r="C5" s="34" t="s">
        <v>85</v>
      </c>
      <c r="D5" s="34" t="s">
        <v>96</v>
      </c>
      <c r="E5" s="34" t="s">
        <v>97</v>
      </c>
      <c r="F5" s="34" t="s">
        <v>92</v>
      </c>
      <c r="G5" s="64">
        <f xml:space="preserve"> I5 / H5</f>
        <v>0.73750000000000004</v>
      </c>
      <c r="H5" s="43">
        <v>4</v>
      </c>
      <c r="I5" s="64">
        <v>2.95</v>
      </c>
      <c r="J5" s="64">
        <v>0</v>
      </c>
      <c r="K5" s="35" t="s">
        <v>84</v>
      </c>
      <c r="L5" s="60">
        <v>46114</v>
      </c>
      <c r="M5" s="85" t="s">
        <v>86</v>
      </c>
    </row>
    <row r="6" spans="1:13" x14ac:dyDescent="0.3">
      <c r="A6" t="s">
        <v>10</v>
      </c>
      <c r="B6" s="88" t="s">
        <v>94</v>
      </c>
      <c r="C6" s="34" t="s">
        <v>85</v>
      </c>
      <c r="D6" s="34" t="s">
        <v>93</v>
      </c>
      <c r="E6" s="34" t="s">
        <v>97</v>
      </c>
      <c r="F6" s="34" t="s">
        <v>26</v>
      </c>
      <c r="G6" s="64">
        <f xml:space="preserve"> I6 / H6</f>
        <v>0.5625</v>
      </c>
      <c r="H6" s="43">
        <v>4</v>
      </c>
      <c r="I6" s="64">
        <v>2.25</v>
      </c>
      <c r="J6" s="64">
        <v>0</v>
      </c>
      <c r="K6" s="35" t="s">
        <v>84</v>
      </c>
      <c r="L6" s="60">
        <v>46114</v>
      </c>
      <c r="M6" s="85" t="s">
        <v>87</v>
      </c>
    </row>
    <row r="7" spans="1:13" x14ac:dyDescent="0.3">
      <c r="A7" t="s">
        <v>10</v>
      </c>
      <c r="B7" s="96" t="s">
        <v>100</v>
      </c>
      <c r="C7" s="97" t="s">
        <v>85</v>
      </c>
      <c r="D7" s="97" t="s">
        <v>101</v>
      </c>
      <c r="E7" s="97" t="s">
        <v>99</v>
      </c>
      <c r="F7" s="97" t="s">
        <v>102</v>
      </c>
      <c r="G7" s="98"/>
      <c r="H7" s="99">
        <v>1</v>
      </c>
      <c r="I7" s="98"/>
      <c r="J7" s="98"/>
      <c r="K7" s="100" t="s">
        <v>84</v>
      </c>
      <c r="L7" s="101">
        <v>46122</v>
      </c>
      <c r="M7" s="102" t="s">
        <v>98</v>
      </c>
    </row>
    <row r="8" spans="1:13" ht="15" thickBot="1" x14ac:dyDescent="0.35">
      <c r="A8" t="s">
        <v>10</v>
      </c>
      <c r="B8" s="42" t="s">
        <v>28</v>
      </c>
      <c r="C8" s="33" t="s">
        <v>30</v>
      </c>
      <c r="D8" s="33" t="s">
        <v>29</v>
      </c>
      <c r="E8" s="33" t="s">
        <v>56</v>
      </c>
      <c r="F8" s="33" t="s">
        <v>31</v>
      </c>
      <c r="G8" s="65">
        <f xml:space="preserve"> I8 / H8</f>
        <v>0.12820000000000001</v>
      </c>
      <c r="H8" s="44">
        <v>50</v>
      </c>
      <c r="I8" s="65">
        <v>6.41</v>
      </c>
      <c r="J8" s="65">
        <v>0</v>
      </c>
      <c r="K8" s="33" t="s">
        <v>8</v>
      </c>
      <c r="L8" s="47">
        <v>46113</v>
      </c>
      <c r="M8" s="48" t="s">
        <v>27</v>
      </c>
    </row>
    <row r="9" spans="1:13" ht="15" thickTop="1" x14ac:dyDescent="0.3"/>
  </sheetData>
  <hyperlinks>
    <hyperlink ref="B8" r:id="rId1" xr:uid="{6D5AF8AE-1870-4793-BFFE-FA81415867FF}"/>
    <hyperlink ref="B4" r:id="rId2" xr:uid="{9E222B36-CFBF-4F59-BE32-5E985F856435}"/>
    <hyperlink ref="B3" r:id="rId3" xr:uid="{F03B53B4-FDB8-40B3-B970-B5CC6038C6B3}"/>
    <hyperlink ref="B6" r:id="rId4" xr:uid="{ADA52809-E174-460C-824E-A82332C98DAD}"/>
    <hyperlink ref="B5" r:id="rId5" xr:uid="{90F0D3EF-572F-439A-8564-9F51B00A2DD2}"/>
  </hyperlinks>
  <pageMargins left="0.7" right="0.7" top="0.75" bottom="0.75" header="0.3" footer="0.3"/>
  <pageSetup paperSize="9" orientation="portrait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5594D-0908-434C-9208-29D72B3A0707}">
  <sheetPr>
    <tabColor theme="0" tint="-0.249977111117893"/>
  </sheetPr>
  <dimension ref="A1:M8"/>
  <sheetViews>
    <sheetView showGridLines="0" showRowColHeaders="0" workbookViewId="0">
      <pane ySplit="2" topLeftCell="A3" activePane="bottomLeft" state="frozenSplit"/>
      <selection pane="bottomLeft" activeCell="B9" sqref="B9"/>
    </sheetView>
  </sheetViews>
  <sheetFormatPr defaultRowHeight="14.4" x14ac:dyDescent="0.3"/>
  <cols>
    <col min="1" max="1" width="2.5546875" bestFit="1" customWidth="1"/>
    <col min="2" max="2" width="27.109375" bestFit="1" customWidth="1"/>
    <col min="3" max="3" width="15.44140625" bestFit="1" customWidth="1"/>
    <col min="4" max="4" width="13.21875" bestFit="1" customWidth="1"/>
    <col min="5" max="5" width="26.77734375" bestFit="1" customWidth="1"/>
    <col min="6" max="6" width="23.88671875" bestFit="1" customWidth="1"/>
    <col min="7" max="7" width="23.88671875" customWidth="1"/>
    <col min="8" max="8" width="37.6640625" bestFit="1" customWidth="1"/>
    <col min="9" max="9" width="23.77734375" bestFit="1" customWidth="1"/>
    <col min="10" max="10" width="38.33203125" bestFit="1" customWidth="1"/>
    <col min="11" max="11" width="12.21875" bestFit="1" customWidth="1"/>
    <col min="12" max="12" width="26.6640625" bestFit="1" customWidth="1"/>
    <col min="13" max="13" width="8" bestFit="1" customWidth="1"/>
  </cols>
  <sheetData>
    <row r="1" spans="1:13" ht="15" thickBot="1" x14ac:dyDescent="0.35"/>
    <row r="2" spans="1:13" ht="19.2" thickTop="1" thickBot="1" x14ac:dyDescent="0.35">
      <c r="B2" s="36" t="s">
        <v>0</v>
      </c>
      <c r="C2" s="37" t="s">
        <v>6</v>
      </c>
      <c r="D2" s="37" t="s">
        <v>7</v>
      </c>
      <c r="E2" s="37" t="s">
        <v>25</v>
      </c>
      <c r="F2" s="37" t="s">
        <v>1</v>
      </c>
      <c r="G2" s="68" t="s">
        <v>45</v>
      </c>
      <c r="H2" s="37" t="s">
        <v>42</v>
      </c>
      <c r="I2" s="37" t="s">
        <v>46</v>
      </c>
      <c r="J2" s="37" t="s">
        <v>47</v>
      </c>
      <c r="K2" s="37" t="s">
        <v>3</v>
      </c>
      <c r="L2" s="37" t="s">
        <v>9</v>
      </c>
      <c r="M2" s="38" t="s">
        <v>4</v>
      </c>
    </row>
    <row r="3" spans="1:13" ht="15" thickTop="1" x14ac:dyDescent="0.3">
      <c r="B3" s="93" t="s">
        <v>15</v>
      </c>
      <c r="C3" s="39"/>
      <c r="D3" s="39"/>
      <c r="E3" s="94" t="s">
        <v>65</v>
      </c>
      <c r="F3" s="94" t="s">
        <v>63</v>
      </c>
      <c r="G3" s="66">
        <f xml:space="preserve"> I3 / H3</f>
        <v>9.25</v>
      </c>
      <c r="H3" s="43">
        <v>1</v>
      </c>
      <c r="I3" s="66">
        <v>9.25</v>
      </c>
      <c r="J3" s="64">
        <v>0</v>
      </c>
      <c r="K3" s="32" t="s">
        <v>12</v>
      </c>
      <c r="L3" s="60">
        <v>45520</v>
      </c>
      <c r="M3" s="95"/>
    </row>
    <row r="4" spans="1:13" x14ac:dyDescent="0.3">
      <c r="A4" t="s">
        <v>10</v>
      </c>
      <c r="B4" s="93"/>
      <c r="C4" s="39" t="s">
        <v>18</v>
      </c>
      <c r="D4" s="39">
        <v>25326</v>
      </c>
      <c r="E4" s="94"/>
      <c r="F4" s="94"/>
      <c r="G4" s="66">
        <f xml:space="preserve"> I4 / H4</f>
        <v>9.25</v>
      </c>
      <c r="H4" s="43">
        <v>1</v>
      </c>
      <c r="I4" s="66">
        <v>9.25</v>
      </c>
      <c r="J4" s="64">
        <v>0</v>
      </c>
      <c r="K4" s="32" t="s">
        <v>17</v>
      </c>
      <c r="L4" s="60">
        <v>45564</v>
      </c>
      <c r="M4" s="95"/>
    </row>
    <row r="5" spans="1:13" x14ac:dyDescent="0.3">
      <c r="B5" s="93" t="s">
        <v>14</v>
      </c>
      <c r="C5" s="39"/>
      <c r="D5" s="39"/>
      <c r="E5" s="94" t="s">
        <v>65</v>
      </c>
      <c r="F5" s="94" t="s">
        <v>64</v>
      </c>
      <c r="G5" s="66">
        <f t="shared" ref="G5:G7" si="0" xml:space="preserve"> I5 / H5</f>
        <v>9.9499999999999993</v>
      </c>
      <c r="H5" s="43">
        <v>1</v>
      </c>
      <c r="I5" s="66">
        <v>9.9499999999999993</v>
      </c>
      <c r="J5" s="64">
        <v>0</v>
      </c>
      <c r="K5" s="32" t="s">
        <v>12</v>
      </c>
      <c r="L5" s="60">
        <v>45520</v>
      </c>
      <c r="M5" s="95"/>
    </row>
    <row r="6" spans="1:13" x14ac:dyDescent="0.3">
      <c r="A6" t="s">
        <v>10</v>
      </c>
      <c r="B6" s="93"/>
      <c r="C6" s="39" t="s">
        <v>18</v>
      </c>
      <c r="D6" s="39">
        <v>25170</v>
      </c>
      <c r="E6" s="94"/>
      <c r="F6" s="94"/>
      <c r="G6" s="66">
        <f t="shared" si="0"/>
        <v>9.9499999999999993</v>
      </c>
      <c r="H6" s="43">
        <v>1</v>
      </c>
      <c r="I6" s="66">
        <v>9.9499999999999993</v>
      </c>
      <c r="J6" s="64">
        <v>0</v>
      </c>
      <c r="K6" s="32" t="s">
        <v>17</v>
      </c>
      <c r="L6" s="60">
        <v>45564</v>
      </c>
      <c r="M6" s="95"/>
    </row>
    <row r="7" spans="1:13" ht="15" thickBot="1" x14ac:dyDescent="0.35">
      <c r="B7" s="42" t="s">
        <v>32</v>
      </c>
      <c r="C7" s="33" t="s">
        <v>18</v>
      </c>
      <c r="D7" s="33">
        <v>25171</v>
      </c>
      <c r="E7" s="33" t="s">
        <v>66</v>
      </c>
      <c r="F7" s="33" t="s">
        <v>64</v>
      </c>
      <c r="G7" s="65">
        <f t="shared" si="0"/>
        <v>11.859</v>
      </c>
      <c r="H7" s="44">
        <v>1</v>
      </c>
      <c r="I7" s="65">
        <v>11.859</v>
      </c>
      <c r="J7" s="65">
        <v>0</v>
      </c>
      <c r="K7" s="33" t="s">
        <v>17</v>
      </c>
      <c r="L7" s="47">
        <v>45520</v>
      </c>
      <c r="M7" s="48"/>
    </row>
    <row r="8" spans="1:13" ht="15" thickTop="1" x14ac:dyDescent="0.3"/>
  </sheetData>
  <mergeCells count="8">
    <mergeCell ref="B5:B6"/>
    <mergeCell ref="E5:E6"/>
    <mergeCell ref="F5:F6"/>
    <mergeCell ref="M5:M6"/>
    <mergeCell ref="B3:B4"/>
    <mergeCell ref="E3:E4"/>
    <mergeCell ref="F3:F4"/>
    <mergeCell ref="M3:M4"/>
  </mergeCells>
  <hyperlinks>
    <hyperlink ref="B3:B4" r:id="rId1" display="SCAALU15,5x27,5x1000x1,5" xr:uid="{92472E4D-D11D-4003-82C6-4B0E1EC9A051}"/>
    <hyperlink ref="B5:B6" r:id="rId2" display="SCAALU23,5x23,5x1000x1,5" xr:uid="{ACA11D43-CC00-4E9A-8EB6-448F41B4F833}"/>
    <hyperlink ref="B7" r:id="rId3" xr:uid="{41345F08-AE88-4C18-84C4-96D190DFA01F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BOM</vt:lpstr>
      <vt:lpstr>Materiale elettrico</vt:lpstr>
      <vt:lpstr>Materiale plastico</vt:lpstr>
      <vt:lpstr>Ferramenta</vt:lpstr>
      <vt:lpstr>Scatolati in alluminio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Masili Marcello</dc:creator>
  <cp:lastModifiedBy>Marcello Masili</cp:lastModifiedBy>
  <dcterms:created xsi:type="dcterms:W3CDTF">2015-06-05T18:19:34Z</dcterms:created>
  <dcterms:modified xsi:type="dcterms:W3CDTF">2026-04-10T13:07:55Z</dcterms:modified>
</cp:coreProperties>
</file>